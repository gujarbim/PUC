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Análises Clientes (B2C)" sheetId="1" r:id="rId5"/>
    <sheet state="visible" name="📈 Análises Parceiros (B2B)" sheetId="2" r:id="rId6"/>
    <sheet state="visible" name="🗄️ Dados Clientes" sheetId="3" r:id="rId7"/>
    <sheet state="visible" name="🗄️ Dados Tatuadores &amp; Estúdios" sheetId="4" r:id="rId8"/>
  </sheets>
  <definedNames>
    <definedName hidden="1" localSheetId="2" name="_xlnm._FilterDatabase">'🗄️ Dados Clientes'!$A$1:$Q$351</definedName>
    <definedName hidden="1" localSheetId="3" name="_xlnm._FilterDatabase">'🗄️ Dados Tatuadores &amp; Estúdios'!$A$1:$O$151</definedName>
  </definedNames>
  <calcPr/>
</workbook>
</file>

<file path=xl/sharedStrings.xml><?xml version="1.0" encoding="utf-8"?>
<sst xmlns="http://schemas.openxmlformats.org/spreadsheetml/2006/main" count="5621" uniqueCount="1284">
  <si>
    <t>Comportamento B2C (Estilos e Ticket)</t>
  </si>
  <si>
    <t>Top Estilos Procurados</t>
  </si>
  <si>
    <t>Ticket Médio por Tamanho</t>
  </si>
  <si>
    <t>Estilo de Tatuagem</t>
  </si>
  <si>
    <t>Volume de Buscas</t>
  </si>
  <si>
    <t>Tamanho</t>
  </si>
  <si>
    <t>Ticket Médio (R$)</t>
  </si>
  <si>
    <t>Fine Line</t>
  </si>
  <si>
    <t>Fechamento</t>
  </si>
  <si>
    <t>Old School</t>
  </si>
  <si>
    <t>Grande (Acima 20cm)</t>
  </si>
  <si>
    <t>Neo-Traditional</t>
  </si>
  <si>
    <t>Médio (10 a 15cm)</t>
  </si>
  <si>
    <t>Minimalista</t>
  </si>
  <si>
    <t>Pequeno (Até 5cm)</t>
  </si>
  <si>
    <t>Blackwork</t>
  </si>
  <si>
    <t>Aquarela</t>
  </si>
  <si>
    <t>Realismo</t>
  </si>
  <si>
    <t>Oriental</t>
  </si>
  <si>
    <t>Crescimento de Parceiros e Faturamento B2B</t>
  </si>
  <si>
    <t>Adesão Mensal (Autônomos vs Estúdios)</t>
  </si>
  <si>
    <t>Mês</t>
  </si>
  <si>
    <t>Ativos Totais</t>
  </si>
  <si>
    <t>Ativos (Autônomos)</t>
  </si>
  <si>
    <t>Ativos (Estúdios)</t>
  </si>
  <si>
    <t>MRR (R$)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</si>
  <si>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</si>
  <si>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</si>
  <si>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</si>
  <si>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</si>
  <si>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</si>
  <si>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</si>
  <si>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</si>
  <si>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</si>
  <si>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</si>
  <si>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</si>
  <si>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</si>
  <si>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</si>
  <si>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</si>
  <si>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ID Cliente</t>
  </si>
  <si>
    <t>Nome</t>
  </si>
  <si>
    <t>Idade</t>
  </si>
  <si>
    <t>Gênero</t>
  </si>
  <si>
    <t>Cidade</t>
  </si>
  <si>
    <t>Bairro (Campinas)</t>
  </si>
  <si>
    <t>Dispositivo</t>
  </si>
  <si>
    <t>Tempo no App (min)</t>
  </si>
  <si>
    <t>Estúdios Favoritos</t>
  </si>
  <si>
    <t>Estilo Desejado</t>
  </si>
  <si>
    <t>Local do Corpo</t>
  </si>
  <si>
    <t>Canal de Origem</t>
  </si>
  <si>
    <t>Status Funil</t>
  </si>
  <si>
    <t>Data de Acesso</t>
  </si>
  <si>
    <t>Valor (R$)</t>
  </si>
  <si>
    <t>Avaliação Delineada</t>
  </si>
  <si>
    <t>CLI-1000</t>
  </si>
  <si>
    <t>Gustavo Lima</t>
  </si>
  <si>
    <t>M</t>
  </si>
  <si>
    <t>Campinas</t>
  </si>
  <si>
    <t>Nova Campinas</t>
  </si>
  <si>
    <t>Android</t>
  </si>
  <si>
    <t>Panturrilha</t>
  </si>
  <si>
    <t>App Store (Orgânico)</t>
  </si>
  <si>
    <t>2. Match (Chat)</t>
  </si>
  <si>
    <t>2026-04-23 22:00</t>
  </si>
  <si>
    <t>CLI-1001</t>
  </si>
  <si>
    <t>Thiago Ferreira</t>
  </si>
  <si>
    <t>Sumaré</t>
  </si>
  <si>
    <t>-</t>
  </si>
  <si>
    <t>iOS</t>
  </si>
  <si>
    <t>Costela</t>
  </si>
  <si>
    <t>Google Search</t>
  </si>
  <si>
    <t>3. Orçamento Recebido</t>
  </si>
  <si>
    <t>2025-11-03 22:00</t>
  </si>
  <si>
    <t>CLI-1002</t>
  </si>
  <si>
    <t>Thiago Mendes</t>
  </si>
  <si>
    <t>Castelo</t>
  </si>
  <si>
    <t>1. Feed/Busca</t>
  </si>
  <si>
    <t>2025-11-13 16:00</t>
  </si>
  <si>
    <t>CLI-1003</t>
  </si>
  <si>
    <t>Lucas Mendes</t>
  </si>
  <si>
    <t>Centro</t>
  </si>
  <si>
    <t>Coxa</t>
  </si>
  <si>
    <t>Instagram Ads</t>
  </si>
  <si>
    <t>5. Sessão Concluída</t>
  </si>
  <si>
    <t>2025-11-19 09:00</t>
  </si>
  <si>
    <t>CLI-1004</t>
  </si>
  <si>
    <t>Vinícius Ferreira</t>
  </si>
  <si>
    <t>Costas</t>
  </si>
  <si>
    <t>2025-11-06 10:00</t>
  </si>
  <si>
    <t>CLI-1005</t>
  </si>
  <si>
    <t>Ana Júlia Santos</t>
  </si>
  <si>
    <t>F</t>
  </si>
  <si>
    <t>Taquaral</t>
  </si>
  <si>
    <t>Braço (Fechamento)</t>
  </si>
  <si>
    <t>2025-06-18 09:00</t>
  </si>
  <si>
    <t>CLI-1006</t>
  </si>
  <si>
    <t>Amanda Dias</t>
  </si>
  <si>
    <t>Barão Geraldo</t>
  </si>
  <si>
    <t>2026-05-25 20:00</t>
  </si>
  <si>
    <t>CLI-1007</t>
  </si>
  <si>
    <t>Sofia Lima</t>
  </si>
  <si>
    <t>Ombro</t>
  </si>
  <si>
    <t>2026-03-11 19:00</t>
  </si>
  <si>
    <t>CLI-1008</t>
  </si>
  <si>
    <t>Rodrigo Rocha</t>
  </si>
  <si>
    <t>Indicação</t>
  </si>
  <si>
    <t>2025-10-16 10:00</t>
  </si>
  <si>
    <t>CLI-1009</t>
  </si>
  <si>
    <t>Beatriz Santos</t>
  </si>
  <si>
    <t>Perdido (Sem Resposta)</t>
  </si>
  <si>
    <t>2025-06-18 10:00</t>
  </si>
  <si>
    <t>CLI-1010</t>
  </si>
  <si>
    <t>Ana Júlia Ferreira</t>
  </si>
  <si>
    <t>Hortolândia</t>
  </si>
  <si>
    <t>2026-03-23 09:00</t>
  </si>
  <si>
    <t>CLI-1011</t>
  </si>
  <si>
    <t>Gustavo Ferreira</t>
  </si>
  <si>
    <t>2025-06-24 08:00</t>
  </si>
  <si>
    <t>CLI-1012</t>
  </si>
  <si>
    <t>Ana Júlia Silva</t>
  </si>
  <si>
    <t>Ouro Verde</t>
  </si>
  <si>
    <t>2025-06-15 12:00</t>
  </si>
  <si>
    <t>CLI-1013</t>
  </si>
  <si>
    <t>Mateus Silva</t>
  </si>
  <si>
    <t>2025-12-17 11:00</t>
  </si>
  <si>
    <t>CLI-1014</t>
  </si>
  <si>
    <t>Sofia Rocha</t>
  </si>
  <si>
    <t>Antebraço</t>
  </si>
  <si>
    <t>2026-04-16 10:00</t>
  </si>
  <si>
    <t>CLI-1015</t>
  </si>
  <si>
    <t>Leonardo Santos</t>
  </si>
  <si>
    <t>Pescoço</t>
  </si>
  <si>
    <t>4. Agendado</t>
  </si>
  <si>
    <t>2025-09-15 12:00</t>
  </si>
  <si>
    <t>CLI-1016</t>
  </si>
  <si>
    <t>Isabela Costa</t>
  </si>
  <si>
    <t>Indaiatuba</t>
  </si>
  <si>
    <t>2026-03-02 15:00</t>
  </si>
  <si>
    <t>CLI-1017</t>
  </si>
  <si>
    <t>Caroline Lima</t>
  </si>
  <si>
    <t>Cambuí</t>
  </si>
  <si>
    <t>2026-04-07 18:00</t>
  </si>
  <si>
    <t>CLI-1018</t>
  </si>
  <si>
    <t>Gabriel Mendes</t>
  </si>
  <si>
    <t>TikTok</t>
  </si>
  <si>
    <t>2025-07-08 08:00</t>
  </si>
  <si>
    <t>CLI-1019</t>
  </si>
  <si>
    <t>Lucas Alves</t>
  </si>
  <si>
    <t>2025-09-16 14:00</t>
  </si>
  <si>
    <t>CLI-1020</t>
  </si>
  <si>
    <t>Larissa Dias</t>
  </si>
  <si>
    <t>Perdido (Preço)</t>
  </si>
  <si>
    <t>2025-12-19 11:00</t>
  </si>
  <si>
    <t>CLI-1021</t>
  </si>
  <si>
    <t>Sofia Ferreira</t>
  </si>
  <si>
    <t>2025-09-14 10:00</t>
  </si>
  <si>
    <t>CLI-1022</t>
  </si>
  <si>
    <t>Gabriel Costa</t>
  </si>
  <si>
    <t>2026-04-03 15:00</t>
  </si>
  <si>
    <t>CLI-1023</t>
  </si>
  <si>
    <t>Letícia Costa</t>
  </si>
  <si>
    <t>Mansões Santo Antônio</t>
  </si>
  <si>
    <t>2025-06-16 09:00</t>
  </si>
  <si>
    <t>CLI-1024</t>
  </si>
  <si>
    <t>Mariana Silva</t>
  </si>
  <si>
    <t>Pulso</t>
  </si>
  <si>
    <t>2026-02-17 13:00</t>
  </si>
  <si>
    <t>CLI-1025</t>
  </si>
  <si>
    <t>Camila Oliveira</t>
  </si>
  <si>
    <t>2025-12-25 14:00</t>
  </si>
  <si>
    <t>CLI-1026</t>
  </si>
  <si>
    <t>Felipe Ferreira</t>
  </si>
  <si>
    <t>2026-02-05 13:00</t>
  </si>
  <si>
    <t>CLI-1027</t>
  </si>
  <si>
    <t>Larissa Oliveira</t>
  </si>
  <si>
    <t>2025-08-28 16:00</t>
  </si>
  <si>
    <t>CLI-1028</t>
  </si>
  <si>
    <t>Guilherme Costa</t>
  </si>
  <si>
    <t>Valinhos</t>
  </si>
  <si>
    <t>2025-08-04 18:00</t>
  </si>
  <si>
    <t>CLI-1029</t>
  </si>
  <si>
    <t>Gustavo Dias</t>
  </si>
  <si>
    <t>2026-05-09 20:00</t>
  </si>
  <si>
    <t>CLI-1030</t>
  </si>
  <si>
    <t>Felipe Oliveira</t>
  </si>
  <si>
    <t>2026-02-01 15:00</t>
  </si>
  <si>
    <t>CLI-1031</t>
  </si>
  <si>
    <t>Letícia Lima</t>
  </si>
  <si>
    <t>2026-05-02 12:00</t>
  </si>
  <si>
    <t>CLI-1032</t>
  </si>
  <si>
    <t>Gabriel Santos</t>
  </si>
  <si>
    <t>2026-04-05 08:00</t>
  </si>
  <si>
    <t>CLI-1033</t>
  </si>
  <si>
    <t>2026-01-24 13:00</t>
  </si>
  <si>
    <t>CLI-1034</t>
  </si>
  <si>
    <t>2026-02-27 11:00</t>
  </si>
  <si>
    <t>CLI-1035</t>
  </si>
  <si>
    <t>Rodrigo Costa</t>
  </si>
  <si>
    <t>2026-05-28 15:00</t>
  </si>
  <si>
    <t>CLI-1036</t>
  </si>
  <si>
    <t>Mateus Mendes</t>
  </si>
  <si>
    <t>2025-07-09 08:00</t>
  </si>
  <si>
    <t>CLI-1037</t>
  </si>
  <si>
    <t>2026-02-04 20:00</t>
  </si>
  <si>
    <t>CLI-1038</t>
  </si>
  <si>
    <t>Caroline Rocha</t>
  </si>
  <si>
    <t>2026-04-14 08:00</t>
  </si>
  <si>
    <t>CLI-1039</t>
  </si>
  <si>
    <t>Mariana Rocha</t>
  </si>
  <si>
    <t>2025-11-09 13:00</t>
  </si>
  <si>
    <t>CLI-1040</t>
  </si>
  <si>
    <t>Rodrigo Ferreira</t>
  </si>
  <si>
    <t>2025-08-09 12:00</t>
  </si>
  <si>
    <t>CLI-1041</t>
  </si>
  <si>
    <t>Mariana Oliveira</t>
  </si>
  <si>
    <t>2025-06-24 15:00</t>
  </si>
  <si>
    <t>CLI-1042</t>
  </si>
  <si>
    <t>Leonardo Ferreira</t>
  </si>
  <si>
    <t>2025-08-01 21:00</t>
  </si>
  <si>
    <t>CLI-1043</t>
  </si>
  <si>
    <t>2026-01-11 21:00</t>
  </si>
  <si>
    <t>CLI-1044</t>
  </si>
  <si>
    <t>Ana Júlia Mendes</t>
  </si>
  <si>
    <t>2025-06-17 11:00</t>
  </si>
  <si>
    <t>CLI-1045</t>
  </si>
  <si>
    <t>Beatriz Costa</t>
  </si>
  <si>
    <t>2026-03-14 22:00</t>
  </si>
  <si>
    <t>CLI-1046</t>
  </si>
  <si>
    <t>Amanda Oliveira</t>
  </si>
  <si>
    <t>2026-02-09 19:00</t>
  </si>
  <si>
    <t>CLI-1047</t>
  </si>
  <si>
    <t>Gabriel Alves</t>
  </si>
  <si>
    <t>2025-09-10 22:00</t>
  </si>
  <si>
    <t>CLI-1048</t>
  </si>
  <si>
    <t>Mateus Dias</t>
  </si>
  <si>
    <t>2025-12-10 17:00</t>
  </si>
  <si>
    <t>CLI-1049</t>
  </si>
  <si>
    <t>Isabela Rocha</t>
  </si>
  <si>
    <t>2025-08-10 15:00</t>
  </si>
  <si>
    <t>CLI-1050</t>
  </si>
  <si>
    <t>Camila Alves</t>
  </si>
  <si>
    <t>2025-08-27 09:00</t>
  </si>
  <si>
    <t>CLI-1051</t>
  </si>
  <si>
    <t>Thiago Silva</t>
  </si>
  <si>
    <t>2025-11-01 19:00</t>
  </si>
  <si>
    <t>CLI-1052</t>
  </si>
  <si>
    <t>2026-05-15 10:00</t>
  </si>
  <si>
    <t>CLI-1053</t>
  </si>
  <si>
    <t>Thiago Costa</t>
  </si>
  <si>
    <t>2025-08-21 09:00</t>
  </si>
  <si>
    <t>CLI-1054</t>
  </si>
  <si>
    <t>2025-09-12 21:00</t>
  </si>
  <si>
    <t>CLI-1055</t>
  </si>
  <si>
    <t>Guilherme Oliveira</t>
  </si>
  <si>
    <t>2025-12-13 18:00</t>
  </si>
  <si>
    <t>CLI-1056</t>
  </si>
  <si>
    <t>Beatriz Oliveira</t>
  </si>
  <si>
    <t>2026-03-24 22:00</t>
  </si>
  <si>
    <t>CLI-1057</t>
  </si>
  <si>
    <t>Ana Júlia Costa</t>
  </si>
  <si>
    <t>2025-11-12 22:00</t>
  </si>
  <si>
    <t>CLI-1058</t>
  </si>
  <si>
    <t>Felipe Dias</t>
  </si>
  <si>
    <t>2026-04-21 16:00</t>
  </si>
  <si>
    <t>CLI-1059</t>
  </si>
  <si>
    <t>Rodrigo Dias</t>
  </si>
  <si>
    <t>2026-04-27 10:00</t>
  </si>
  <si>
    <t>CLI-1060</t>
  </si>
  <si>
    <t>2025-08-06 12:00</t>
  </si>
  <si>
    <t>CLI-1061</t>
  </si>
  <si>
    <t>2025-06-14 16:00</t>
  </si>
  <si>
    <t>CLI-1062</t>
  </si>
  <si>
    <t>Guilherme Silva</t>
  </si>
  <si>
    <t>2026-02-09 13:00</t>
  </si>
  <si>
    <t>CLI-1063</t>
  </si>
  <si>
    <t>2026-03-10 18:00</t>
  </si>
  <si>
    <t>CLI-1064</t>
  </si>
  <si>
    <t>2026-04-20 14:00</t>
  </si>
  <si>
    <t>CLI-1065</t>
  </si>
  <si>
    <t>2026-02-28 17:00</t>
  </si>
  <si>
    <t>CLI-1066</t>
  </si>
  <si>
    <t>Gabriel Dias</t>
  </si>
  <si>
    <t>2025-08-04 09:00</t>
  </si>
  <si>
    <t>CLI-1067</t>
  </si>
  <si>
    <t>Larissa Mendes</t>
  </si>
  <si>
    <t>2026-02-26 14:00</t>
  </si>
  <si>
    <t>CLI-1068</t>
  </si>
  <si>
    <t>2026-05-13 13:00</t>
  </si>
  <si>
    <t>CLI-1069</t>
  </si>
  <si>
    <t>2026-04-19 12:00</t>
  </si>
  <si>
    <t>CLI-1070</t>
  </si>
  <si>
    <t>2025-10-01 08:00</t>
  </si>
  <si>
    <t>CLI-1071</t>
  </si>
  <si>
    <t>Amanda Ferreira</t>
  </si>
  <si>
    <t>2025-07-09 12:00</t>
  </si>
  <si>
    <t>CLI-1072</t>
  </si>
  <si>
    <t>2026-05-19 18:00</t>
  </si>
  <si>
    <t>CLI-1073</t>
  </si>
  <si>
    <t>2025-11-26 22:00</t>
  </si>
  <si>
    <t>CLI-1074</t>
  </si>
  <si>
    <t>Gabriel Rocha</t>
  </si>
  <si>
    <t>2026-02-09 14:00</t>
  </si>
  <si>
    <t>CLI-1075</t>
  </si>
  <si>
    <t>2025-12-25 13:00</t>
  </si>
  <si>
    <t>CLI-1076</t>
  </si>
  <si>
    <t>2025-11-18 13:00</t>
  </si>
  <si>
    <t>CLI-1077</t>
  </si>
  <si>
    <t>Beatriz Lima</t>
  </si>
  <si>
    <t>2025-07-05 10:00</t>
  </si>
  <si>
    <t>CLI-1078</t>
  </si>
  <si>
    <t>Rodrigo Lima</t>
  </si>
  <si>
    <t>2026-02-28 12:00</t>
  </si>
  <si>
    <t>CLI-1079</t>
  </si>
  <si>
    <t>2025-11-12 14:00</t>
  </si>
  <si>
    <t>CLI-1080</t>
  </si>
  <si>
    <t>2025-08-24 13:00</t>
  </si>
  <si>
    <t>CLI-1081</t>
  </si>
  <si>
    <t>2025-07-04 18:00</t>
  </si>
  <si>
    <t>CLI-1082</t>
  </si>
  <si>
    <t>Leonardo Rocha</t>
  </si>
  <si>
    <t>2026-04-25 16:00</t>
  </si>
  <si>
    <t>CLI-1083</t>
  </si>
  <si>
    <t>Felipe Silva</t>
  </si>
  <si>
    <t>2025-10-29 15:00</t>
  </si>
  <si>
    <t>CLI-1084</t>
  </si>
  <si>
    <t>Lucas Dias</t>
  </si>
  <si>
    <t>2026-03-31 22:00</t>
  </si>
  <si>
    <t>CLI-1085</t>
  </si>
  <si>
    <t>Lucas Ferreira</t>
  </si>
  <si>
    <t>2026-04-13 15:00</t>
  </si>
  <si>
    <t>CLI-1086</t>
  </si>
  <si>
    <t>Larissa Silva</t>
  </si>
  <si>
    <t>CLI-1087</t>
  </si>
  <si>
    <t>2025-09-13 11:00</t>
  </si>
  <si>
    <t>CLI-1088</t>
  </si>
  <si>
    <t>Amanda Rocha</t>
  </si>
  <si>
    <t>2025-08-31 21:00</t>
  </si>
  <si>
    <t>CLI-1089</t>
  </si>
  <si>
    <t>Guilherme Ferreira</t>
  </si>
  <si>
    <t>2025-08-29 12:00</t>
  </si>
  <si>
    <t>CLI-1090</t>
  </si>
  <si>
    <t>Lucas Costa</t>
  </si>
  <si>
    <t>2025-11-02 20:00</t>
  </si>
  <si>
    <t>CLI-1091</t>
  </si>
  <si>
    <t>Isabela Alves</t>
  </si>
  <si>
    <t>2025-07-02 16:00</t>
  </si>
  <si>
    <t>CLI-1092</t>
  </si>
  <si>
    <t>Sofia Oliveira</t>
  </si>
  <si>
    <t>2026-02-04 16:00</t>
  </si>
  <si>
    <t>CLI-1093</t>
  </si>
  <si>
    <t>Gabriel Lima</t>
  </si>
  <si>
    <t>2026-05-01 13:00</t>
  </si>
  <si>
    <t>CLI-1094</t>
  </si>
  <si>
    <t>2025-12-16 17:00</t>
  </si>
  <si>
    <t>CLI-1095</t>
  </si>
  <si>
    <t>Ana Júlia Rocha</t>
  </si>
  <si>
    <t>2025-07-14 09:00</t>
  </si>
  <si>
    <t>CLI-1096</t>
  </si>
  <si>
    <t>2026-04-28 18:00</t>
  </si>
  <si>
    <t>CLI-1097</t>
  </si>
  <si>
    <t>Vinícius Santos</t>
  </si>
  <si>
    <t>2025-06-14 17:00</t>
  </si>
  <si>
    <t>CLI-1098</t>
  </si>
  <si>
    <t>Beatriz Silva</t>
  </si>
  <si>
    <t>2026-04-25 13:00</t>
  </si>
  <si>
    <t>CLI-1099</t>
  </si>
  <si>
    <t>Thiago Oliveira</t>
  </si>
  <si>
    <t>2025-08-16 08:00</t>
  </si>
  <si>
    <t>CLI-1100</t>
  </si>
  <si>
    <t>2026-03-18 12:00</t>
  </si>
  <si>
    <t>CLI-1101</t>
  </si>
  <si>
    <t>Mariana Ferreira</t>
  </si>
  <si>
    <t>2026-02-28 16:00</t>
  </si>
  <si>
    <t>CLI-1102</t>
  </si>
  <si>
    <t>Sofia Alves</t>
  </si>
  <si>
    <t>2025-10-09 22:00</t>
  </si>
  <si>
    <t>CLI-1103</t>
  </si>
  <si>
    <t>Caroline Mendes</t>
  </si>
  <si>
    <t>2025-11-08 12:00</t>
  </si>
  <si>
    <t>CLI-1104</t>
  </si>
  <si>
    <t>Gustavo Costa</t>
  </si>
  <si>
    <t>2025-07-22 20:00</t>
  </si>
  <si>
    <t>CLI-1105</t>
  </si>
  <si>
    <t>Isabela Mendes</t>
  </si>
  <si>
    <t>2025-06-25 09:00</t>
  </si>
  <si>
    <t>CLI-1106</t>
  </si>
  <si>
    <t>Caroline Costa</t>
  </si>
  <si>
    <t>2026-03-08 14:00</t>
  </si>
  <si>
    <t>CLI-1107</t>
  </si>
  <si>
    <t>2025-12-27 14:00</t>
  </si>
  <si>
    <t>CLI-1108</t>
  </si>
  <si>
    <t>Gabriel Ferreira</t>
  </si>
  <si>
    <t>2026-05-25 14:00</t>
  </si>
  <si>
    <t>CLI-1109</t>
  </si>
  <si>
    <t>Mateus Oliveira</t>
  </si>
  <si>
    <t>2025-12-25 19:00</t>
  </si>
  <si>
    <t>CLI-1110</t>
  </si>
  <si>
    <t>Vinícius Silva</t>
  </si>
  <si>
    <t>2025-07-28 22:00</t>
  </si>
  <si>
    <t>CLI-1111</t>
  </si>
  <si>
    <t>Isabela Dias</t>
  </si>
  <si>
    <t>2025-09-12 09:00</t>
  </si>
  <si>
    <t>CLI-1112</t>
  </si>
  <si>
    <t>Lucas Rocha</t>
  </si>
  <si>
    <t>2025-06-17 10:00</t>
  </si>
  <si>
    <t>CLI-1113</t>
  </si>
  <si>
    <t>Ana Júlia Lima</t>
  </si>
  <si>
    <t>2025-08-21 17:00</t>
  </si>
  <si>
    <t>CLI-1114</t>
  </si>
  <si>
    <t>Letícia Ferreira</t>
  </si>
  <si>
    <t>2025-06-12 21:00</t>
  </si>
  <si>
    <t>CLI-1115</t>
  </si>
  <si>
    <t>Rodrigo Santos</t>
  </si>
  <si>
    <t>2026-04-02 17:00</t>
  </si>
  <si>
    <t>CLI-1116</t>
  </si>
  <si>
    <t>Letícia Dias</t>
  </si>
  <si>
    <t>2026-03-15 08:00</t>
  </si>
  <si>
    <t>CLI-1117</t>
  </si>
  <si>
    <t>Leonardo Alves</t>
  </si>
  <si>
    <t>2026-02-06 09:00</t>
  </si>
  <si>
    <t>CLI-1118</t>
  </si>
  <si>
    <t>2025-12-26 21:00</t>
  </si>
  <si>
    <t>CLI-1119</t>
  </si>
  <si>
    <t>Felipe Alves</t>
  </si>
  <si>
    <t>2025-07-09 11:00</t>
  </si>
  <si>
    <t>CLI-1120</t>
  </si>
  <si>
    <t>Isabela Ferreira</t>
  </si>
  <si>
    <t>CLI-1121</t>
  </si>
  <si>
    <t>Letícia Rocha</t>
  </si>
  <si>
    <t>2025-08-10 22:00</t>
  </si>
  <si>
    <t>CLI-1122</t>
  </si>
  <si>
    <t>Felipe Costa</t>
  </si>
  <si>
    <t>2025-08-06 20:00</t>
  </si>
  <si>
    <t>CLI-1123</t>
  </si>
  <si>
    <t>2025-08-07 13:00</t>
  </si>
  <si>
    <t>CLI-1124</t>
  </si>
  <si>
    <t>2026-04-16 12:00</t>
  </si>
  <si>
    <t>CLI-1125</t>
  </si>
  <si>
    <t>Caroline Dias</t>
  </si>
  <si>
    <t>2026-03-26 08:00</t>
  </si>
  <si>
    <t>CLI-1126</t>
  </si>
  <si>
    <t>Felipe Rocha</t>
  </si>
  <si>
    <t>2025-12-06 09:00</t>
  </si>
  <si>
    <t>CLI-1127</t>
  </si>
  <si>
    <t>Vinícius Dias</t>
  </si>
  <si>
    <t>2025-10-25 17:00</t>
  </si>
  <si>
    <t>CLI-1128</t>
  </si>
  <si>
    <t>2025-12-22 21:00</t>
  </si>
  <si>
    <t>CLI-1129</t>
  </si>
  <si>
    <t>2025-06-08 10:00</t>
  </si>
  <si>
    <t>CLI-1130</t>
  </si>
  <si>
    <t>2025-08-26 14:00</t>
  </si>
  <si>
    <t>CLI-1131</t>
  </si>
  <si>
    <t>Gabriel Silva</t>
  </si>
  <si>
    <t>2025-08-28 10:00</t>
  </si>
  <si>
    <t>CLI-1132</t>
  </si>
  <si>
    <t>Ana Júlia Alves</t>
  </si>
  <si>
    <t>2025-07-21 17:00</t>
  </si>
  <si>
    <t>CLI-1133</t>
  </si>
  <si>
    <t>2026-02-02 10:00</t>
  </si>
  <si>
    <t>CLI-1134</t>
  </si>
  <si>
    <t>2026-05-22 10:00</t>
  </si>
  <si>
    <t>CLI-1135</t>
  </si>
  <si>
    <t>Thiago Dias</t>
  </si>
  <si>
    <t>2025-10-11 15:00</t>
  </si>
  <si>
    <t>CLI-1136</t>
  </si>
  <si>
    <t>Mateus Ferreira</t>
  </si>
  <si>
    <t>2025-12-01 11:00</t>
  </si>
  <si>
    <t>CLI-1137</t>
  </si>
  <si>
    <t>2026-03-09 14:00</t>
  </si>
  <si>
    <t>CLI-1138</t>
  </si>
  <si>
    <t>2026-02-28 09:00</t>
  </si>
  <si>
    <t>CLI-1139</t>
  </si>
  <si>
    <t>2025-10-21 16:00</t>
  </si>
  <si>
    <t>CLI-1140</t>
  </si>
  <si>
    <t>2025-07-01 19:00</t>
  </si>
  <si>
    <t>CLI-1141</t>
  </si>
  <si>
    <t>Beatriz Rocha</t>
  </si>
  <si>
    <t>2025-07-05 15:00</t>
  </si>
  <si>
    <t>CLI-1142</t>
  </si>
  <si>
    <t>Caroline Santos</t>
  </si>
  <si>
    <t>2026-04-28 19:00</t>
  </si>
  <si>
    <t>CLI-1143</t>
  </si>
  <si>
    <t>Gabriel Oliveira</t>
  </si>
  <si>
    <t>2025-07-09 18:00</t>
  </si>
  <si>
    <t>CLI-1144</t>
  </si>
  <si>
    <t>2026-02-08 16:00</t>
  </si>
  <si>
    <t>CLI-1145</t>
  </si>
  <si>
    <t>2025-10-03 14:00</t>
  </si>
  <si>
    <t>CLI-1146</t>
  </si>
  <si>
    <t>CLI-1147</t>
  </si>
  <si>
    <t>2026-03-05 08:00</t>
  </si>
  <si>
    <t>CLI-1148</t>
  </si>
  <si>
    <t>2026-03-31 17:00</t>
  </si>
  <si>
    <t>CLI-1149</t>
  </si>
  <si>
    <t>Thiago Lima</t>
  </si>
  <si>
    <t>2025-12-04 15:00</t>
  </si>
  <si>
    <t>CLI-1150</t>
  </si>
  <si>
    <t>2026-04-29 17:00</t>
  </si>
  <si>
    <t>CLI-1151</t>
  </si>
  <si>
    <t>2026-02-22 10:00</t>
  </si>
  <si>
    <t>CLI-1152</t>
  </si>
  <si>
    <t>2026-01-26 10:00</t>
  </si>
  <si>
    <t>CLI-1153</t>
  </si>
  <si>
    <t>Mateus Lima</t>
  </si>
  <si>
    <t>2026-05-15 13:00</t>
  </si>
  <si>
    <t>CLI-1154</t>
  </si>
  <si>
    <t>Larissa Lima</t>
  </si>
  <si>
    <t>2026-02-22 16:00</t>
  </si>
  <si>
    <t>CLI-1155</t>
  </si>
  <si>
    <t>Sofia Costa</t>
  </si>
  <si>
    <t>2025-10-05 10:00</t>
  </si>
  <si>
    <t>CLI-1156</t>
  </si>
  <si>
    <t>2025-11-23 18:00</t>
  </si>
  <si>
    <t>CLI-1157</t>
  </si>
  <si>
    <t>2025-11-22 20:00</t>
  </si>
  <si>
    <t>CLI-1158</t>
  </si>
  <si>
    <t>Lucas Silva</t>
  </si>
  <si>
    <t>2025-08-13 12:00</t>
  </si>
  <si>
    <t>CLI-1159</t>
  </si>
  <si>
    <t>Larissa Alves</t>
  </si>
  <si>
    <t>2026-03-19 22:00</t>
  </si>
  <si>
    <t>CLI-1160</t>
  </si>
  <si>
    <t>Lucas Oliveira</t>
  </si>
  <si>
    <t>2025-12-28 21:00</t>
  </si>
  <si>
    <t>CLI-1161</t>
  </si>
  <si>
    <t>Rodrigo Alves</t>
  </si>
  <si>
    <t>2025-11-09 15:00</t>
  </si>
  <si>
    <t>CLI-1162</t>
  </si>
  <si>
    <t>2025-09-07 19:00</t>
  </si>
  <si>
    <t>CLI-1163</t>
  </si>
  <si>
    <t>2025-10-29 11:00</t>
  </si>
  <si>
    <t>CLI-1164</t>
  </si>
  <si>
    <t>2025-10-25 10:00</t>
  </si>
  <si>
    <t>CLI-1165</t>
  </si>
  <si>
    <t>Amanda Silva</t>
  </si>
  <si>
    <t>2026-02-11 09:00</t>
  </si>
  <si>
    <t>CLI-1166</t>
  </si>
  <si>
    <t>2025-12-31 09:00</t>
  </si>
  <si>
    <t>CLI-1167</t>
  </si>
  <si>
    <t>Caroline Silva</t>
  </si>
  <si>
    <t>2025-12-27 20:00</t>
  </si>
  <si>
    <t>CLI-1168</t>
  </si>
  <si>
    <t>Felipe Santos</t>
  </si>
  <si>
    <t>2025-12-06 08:00</t>
  </si>
  <si>
    <t>CLI-1169</t>
  </si>
  <si>
    <t>2025-12-22 17:00</t>
  </si>
  <si>
    <t>CLI-1170</t>
  </si>
  <si>
    <t>Larissa Ferreira</t>
  </si>
  <si>
    <t>2026-03-13 20:00</t>
  </si>
  <si>
    <t>CLI-1171</t>
  </si>
  <si>
    <t>2025-07-01 12:00</t>
  </si>
  <si>
    <t>CLI-1172</t>
  </si>
  <si>
    <t>2025-11-20 19:00</t>
  </si>
  <si>
    <t>CLI-1173</t>
  </si>
  <si>
    <t>2025-06-23 13:00</t>
  </si>
  <si>
    <t>CLI-1174</t>
  </si>
  <si>
    <t>2025-09-01 11:00</t>
  </si>
  <si>
    <t>CLI-1175</t>
  </si>
  <si>
    <t>2025-08-29 13:00</t>
  </si>
  <si>
    <t>CLI-1176</t>
  </si>
  <si>
    <t>2026-01-27 13:00</t>
  </si>
  <si>
    <t>CLI-1177</t>
  </si>
  <si>
    <t>2025-08-21 16:00</t>
  </si>
  <si>
    <t>CLI-1178</t>
  </si>
  <si>
    <t>2025-09-29 16:00</t>
  </si>
  <si>
    <t>CLI-1179</t>
  </si>
  <si>
    <t>Larissa Rocha</t>
  </si>
  <si>
    <t>2026-01-08 13:00</t>
  </si>
  <si>
    <t>CLI-1180</t>
  </si>
  <si>
    <t>2026-02-03 16:00</t>
  </si>
  <si>
    <t>CLI-1181</t>
  </si>
  <si>
    <t>Beatriz Ferreira</t>
  </si>
  <si>
    <t>2026-03-07 21:00</t>
  </si>
  <si>
    <t>CLI-1182</t>
  </si>
  <si>
    <t>2025-11-28 17:00</t>
  </si>
  <si>
    <t>CLI-1183</t>
  </si>
  <si>
    <t>2026-02-25 20:00</t>
  </si>
  <si>
    <t>CLI-1184</t>
  </si>
  <si>
    <t>2025-07-22 13:00</t>
  </si>
  <si>
    <t>CLI-1185</t>
  </si>
  <si>
    <t>Gustavo Rocha</t>
  </si>
  <si>
    <t>2026-02-01 10:00</t>
  </si>
  <si>
    <t>CLI-1186</t>
  </si>
  <si>
    <t>Mateus Costa</t>
  </si>
  <si>
    <t>2026-01-12 17:00</t>
  </si>
  <si>
    <t>CLI-1187</t>
  </si>
  <si>
    <t>2026-04-01 11:00</t>
  </si>
  <si>
    <t>CLI-1188</t>
  </si>
  <si>
    <t>Gustavo Santos</t>
  </si>
  <si>
    <t>2026-04-04 11:00</t>
  </si>
  <si>
    <t>CLI-1189</t>
  </si>
  <si>
    <t>2025-10-14 19:00</t>
  </si>
  <si>
    <t>CLI-1190</t>
  </si>
  <si>
    <t>Vinícius Costa</t>
  </si>
  <si>
    <t>CLI-1191</t>
  </si>
  <si>
    <t>2026-04-11 20:00</t>
  </si>
  <si>
    <t>CLI-1192</t>
  </si>
  <si>
    <t>2025-12-02 17:00</t>
  </si>
  <si>
    <t>CLI-1193</t>
  </si>
  <si>
    <t>2025-09-20 19:00</t>
  </si>
  <si>
    <t>CLI-1194</t>
  </si>
  <si>
    <t>Thiago Rocha</t>
  </si>
  <si>
    <t>CLI-1195</t>
  </si>
  <si>
    <t>2025-10-09 15:00</t>
  </si>
  <si>
    <t>CLI-1196</t>
  </si>
  <si>
    <t>2026-02-04 15:00</t>
  </si>
  <si>
    <t>CLI-1197</t>
  </si>
  <si>
    <t>2026-02-22 12:00</t>
  </si>
  <si>
    <t>CLI-1198</t>
  </si>
  <si>
    <t>Leonardo Dias</t>
  </si>
  <si>
    <t>2026-02-20 22:00</t>
  </si>
  <si>
    <t>CLI-1199</t>
  </si>
  <si>
    <t>2026-01-18 08:00</t>
  </si>
  <si>
    <t>CLI-1200</t>
  </si>
  <si>
    <t>Isabela Silva</t>
  </si>
  <si>
    <t>2026-03-14 17:00</t>
  </si>
  <si>
    <t>CLI-1201</t>
  </si>
  <si>
    <t>Mariana Costa</t>
  </si>
  <si>
    <t>2025-09-20 09:00</t>
  </si>
  <si>
    <t>CLI-1202</t>
  </si>
  <si>
    <t>2025-11-09 12:00</t>
  </si>
  <si>
    <t>CLI-1203</t>
  </si>
  <si>
    <t>Leonardo Oliveira</t>
  </si>
  <si>
    <t>2026-02-17 18:00</t>
  </si>
  <si>
    <t>CLI-1204</t>
  </si>
  <si>
    <t>2025-09-02 18:00</t>
  </si>
  <si>
    <t>CLI-1205</t>
  </si>
  <si>
    <t>Camila Lima</t>
  </si>
  <si>
    <t>2026-02-16 18:00</t>
  </si>
  <si>
    <t>CLI-1206</t>
  </si>
  <si>
    <t>Guilherme Lima</t>
  </si>
  <si>
    <t>2026-03-25 19:00</t>
  </si>
  <si>
    <t>CLI-1207</t>
  </si>
  <si>
    <t>CLI-1208</t>
  </si>
  <si>
    <t>2025-12-03 14:00</t>
  </si>
  <si>
    <t>CLI-1209</t>
  </si>
  <si>
    <t>2025-09-12 20:00</t>
  </si>
  <si>
    <t>CLI-1210</t>
  </si>
  <si>
    <t>2025-12-23 13:00</t>
  </si>
  <si>
    <t>CLI-1211</t>
  </si>
  <si>
    <t>2025-09-27 09:00</t>
  </si>
  <si>
    <t>CLI-1212</t>
  </si>
  <si>
    <t>2025-07-09 13:00</t>
  </si>
  <si>
    <t>CLI-1213</t>
  </si>
  <si>
    <t>2026-03-11 12:00</t>
  </si>
  <si>
    <t>CLI-1214</t>
  </si>
  <si>
    <t>2025-06-18 14:00</t>
  </si>
  <si>
    <t>CLI-1215</t>
  </si>
  <si>
    <t>2025-09-20 12:00</t>
  </si>
  <si>
    <t>CLI-1216</t>
  </si>
  <si>
    <t>2025-11-11 08:00</t>
  </si>
  <si>
    <t>CLI-1217</t>
  </si>
  <si>
    <t>Amanda Lima</t>
  </si>
  <si>
    <t>2025-07-12 13:00</t>
  </si>
  <si>
    <t>CLI-1218</t>
  </si>
  <si>
    <t>2025-12-15 08:00</t>
  </si>
  <si>
    <t>CLI-1219</t>
  </si>
  <si>
    <t>Gustavo Silva</t>
  </si>
  <si>
    <t>2026-04-22 09:00</t>
  </si>
  <si>
    <t>CLI-1220</t>
  </si>
  <si>
    <t>2025-07-08 15:00</t>
  </si>
  <si>
    <t>CLI-1221</t>
  </si>
  <si>
    <t>Sofia Dias</t>
  </si>
  <si>
    <t>2026-05-16 16:00</t>
  </si>
  <si>
    <t>CLI-1222</t>
  </si>
  <si>
    <t>2026-05-28 17:00</t>
  </si>
  <si>
    <t>CLI-1223</t>
  </si>
  <si>
    <t>Gustavo Oliveira</t>
  </si>
  <si>
    <t>CLI-1224</t>
  </si>
  <si>
    <t>Letícia Santos</t>
  </si>
  <si>
    <t>2025-08-08 11:00</t>
  </si>
  <si>
    <t>CLI-1225</t>
  </si>
  <si>
    <t>Letícia Mendes</t>
  </si>
  <si>
    <t>2026-02-19 19:00</t>
  </si>
  <si>
    <t>CLI-1226</t>
  </si>
  <si>
    <t>2026-04-02 22:00</t>
  </si>
  <si>
    <t>CLI-1227</t>
  </si>
  <si>
    <t>Isabela Santos</t>
  </si>
  <si>
    <t>2025-10-13 21:00</t>
  </si>
  <si>
    <t>CLI-1228</t>
  </si>
  <si>
    <t>Sofia Mendes</t>
  </si>
  <si>
    <t>2025-06-23 20:00</t>
  </si>
  <si>
    <t>CLI-1229</t>
  </si>
  <si>
    <t>Felipe Lima</t>
  </si>
  <si>
    <t>2026-03-11 10:00</t>
  </si>
  <si>
    <t>CLI-1230</t>
  </si>
  <si>
    <t>Gustavo Mendes</t>
  </si>
  <si>
    <t>CLI-1231</t>
  </si>
  <si>
    <t>2025-08-30 21:00</t>
  </si>
  <si>
    <t>CLI-1232</t>
  </si>
  <si>
    <t>2025-08-20 20:00</t>
  </si>
  <si>
    <t>CLI-1233</t>
  </si>
  <si>
    <t>2026-04-04 21:00</t>
  </si>
  <si>
    <t>CLI-1234</t>
  </si>
  <si>
    <t>2025-08-23 10:00</t>
  </si>
  <si>
    <t>CLI-1235</t>
  </si>
  <si>
    <t>2026-05-18 12:00</t>
  </si>
  <si>
    <t>CLI-1236</t>
  </si>
  <si>
    <t>2025-08-26 13:00</t>
  </si>
  <si>
    <t>CLI-1237</t>
  </si>
  <si>
    <t>2026-02-27 13:00</t>
  </si>
  <si>
    <t>CLI-1238</t>
  </si>
  <si>
    <t>Mariana Mendes</t>
  </si>
  <si>
    <t>2026-04-18 19:00</t>
  </si>
  <si>
    <t>CLI-1239</t>
  </si>
  <si>
    <t>2025-07-13 21:00</t>
  </si>
  <si>
    <t>CLI-1240</t>
  </si>
  <si>
    <t>2026-03-07 11:00</t>
  </si>
  <si>
    <t>CLI-1241</t>
  </si>
  <si>
    <t>Caroline Ferreira</t>
  </si>
  <si>
    <t>2026-04-19 17:00</t>
  </si>
  <si>
    <t>CLI-1242</t>
  </si>
  <si>
    <t>2025-08-25 14:00</t>
  </si>
  <si>
    <t>CLI-1243</t>
  </si>
  <si>
    <t>2025-10-04 15:00</t>
  </si>
  <si>
    <t>CLI-1244</t>
  </si>
  <si>
    <t>2026-04-13 14:00</t>
  </si>
  <si>
    <t>CLI-1245</t>
  </si>
  <si>
    <t>2026-04-15 08:00</t>
  </si>
  <si>
    <t>CLI-1246</t>
  </si>
  <si>
    <t>2025-06-26 14:00</t>
  </si>
  <si>
    <t>CLI-1247</t>
  </si>
  <si>
    <t>Letícia Alves</t>
  </si>
  <si>
    <t>2026-02-05 21:00</t>
  </si>
  <si>
    <t>CLI-1248</t>
  </si>
  <si>
    <t>2026-01-13 18:00</t>
  </si>
  <si>
    <t>CLI-1249</t>
  </si>
  <si>
    <t>2025-09-08 19:00</t>
  </si>
  <si>
    <t>CLI-1250</t>
  </si>
  <si>
    <t>2025-12-15 11:00</t>
  </si>
  <si>
    <t>CLI-1251</t>
  </si>
  <si>
    <t>Thiago Alves</t>
  </si>
  <si>
    <t>2026-02-25 12:00</t>
  </si>
  <si>
    <t>CLI-1252</t>
  </si>
  <si>
    <t>2025-12-07 20:00</t>
  </si>
  <si>
    <t>CLI-1253</t>
  </si>
  <si>
    <t>Guilherme Alves</t>
  </si>
  <si>
    <t>2026-04-15 21:00</t>
  </si>
  <si>
    <t>CLI-1254</t>
  </si>
  <si>
    <t>2026-02-16 15:00</t>
  </si>
  <si>
    <t>CLI-1255</t>
  </si>
  <si>
    <t>Mariana Alves</t>
  </si>
  <si>
    <t>2025-10-28 16:00</t>
  </si>
  <si>
    <t>CLI-1256</t>
  </si>
  <si>
    <t>2025-06-26 11:00</t>
  </si>
  <si>
    <t>CLI-1257</t>
  </si>
  <si>
    <t>2026-03-29 15:00</t>
  </si>
  <si>
    <t>CLI-1258</t>
  </si>
  <si>
    <t>2025-10-14 14:00</t>
  </si>
  <si>
    <t>CLI-1259</t>
  </si>
  <si>
    <t>2025-06-15 18:00</t>
  </si>
  <si>
    <t>CLI-1260</t>
  </si>
  <si>
    <t>Sofia Silva</t>
  </si>
  <si>
    <t>2025-11-22 21:00</t>
  </si>
  <si>
    <t>CLI-1261</t>
  </si>
  <si>
    <t>Larissa Costa</t>
  </si>
  <si>
    <t>2025-11-21 13:00</t>
  </si>
  <si>
    <t>CLI-1262</t>
  </si>
  <si>
    <t>2026-05-03 22:00</t>
  </si>
  <si>
    <t>CLI-1263</t>
  </si>
  <si>
    <t>2025-12-27 11:00</t>
  </si>
  <si>
    <t>CLI-1264</t>
  </si>
  <si>
    <t>2025-11-03 12:00</t>
  </si>
  <si>
    <t>CLI-1265</t>
  </si>
  <si>
    <t>2025-07-01 22:00</t>
  </si>
  <si>
    <t>CLI-1266</t>
  </si>
  <si>
    <t>Mateus Rocha</t>
  </si>
  <si>
    <t>2025-12-12 19:00</t>
  </si>
  <si>
    <t>CLI-1267</t>
  </si>
  <si>
    <t>2025-09-25 16:00</t>
  </si>
  <si>
    <t>CLI-1268</t>
  </si>
  <si>
    <t>2025-08-28 21:00</t>
  </si>
  <si>
    <t>CLI-1269</t>
  </si>
  <si>
    <t>Amanda Santos</t>
  </si>
  <si>
    <t>2025-09-27 10:00</t>
  </si>
  <si>
    <t>CLI-1270</t>
  </si>
  <si>
    <t>2025-07-07 18:00</t>
  </si>
  <si>
    <t>CLI-1271</t>
  </si>
  <si>
    <t>Rodrigo Oliveira</t>
  </si>
  <si>
    <t>2025-09-20 18:00</t>
  </si>
  <si>
    <t>CLI-1272</t>
  </si>
  <si>
    <t>2026-05-15 16:00</t>
  </si>
  <si>
    <t>CLI-1273</t>
  </si>
  <si>
    <t>2026-01-29 15:00</t>
  </si>
  <si>
    <t>CLI-1274</t>
  </si>
  <si>
    <t>2026-01-05 15:00</t>
  </si>
  <si>
    <t>CLI-1275</t>
  </si>
  <si>
    <t>2026-01-18 13:00</t>
  </si>
  <si>
    <t>CLI-1276</t>
  </si>
  <si>
    <t>2025-06-16 22:00</t>
  </si>
  <si>
    <t>CLI-1277</t>
  </si>
  <si>
    <t>2026-02-16 21:00</t>
  </si>
  <si>
    <t>CLI-1278</t>
  </si>
  <si>
    <t>2025-07-01 16:00</t>
  </si>
  <si>
    <t>CLI-1279</t>
  </si>
  <si>
    <t>Isabela Oliveira</t>
  </si>
  <si>
    <t>2025-07-29 08:00</t>
  </si>
  <si>
    <t>CLI-1280</t>
  </si>
  <si>
    <t>Camila Dias</t>
  </si>
  <si>
    <t>2026-03-02 16:00</t>
  </si>
  <si>
    <t>CLI-1281</t>
  </si>
  <si>
    <t>Beatriz Mendes</t>
  </si>
  <si>
    <t>2026-05-01 18:00</t>
  </si>
  <si>
    <t>CLI-1282</t>
  </si>
  <si>
    <t>2025-12-11 22:00</t>
  </si>
  <si>
    <t>CLI-1283</t>
  </si>
  <si>
    <t>2026-02-12 19:00</t>
  </si>
  <si>
    <t>CLI-1284</t>
  </si>
  <si>
    <t>2026-03-03 10:00</t>
  </si>
  <si>
    <t>CLI-1285</t>
  </si>
  <si>
    <t>Amanda Costa</t>
  </si>
  <si>
    <t>2025-07-07 13:00</t>
  </si>
  <si>
    <t>CLI-1286</t>
  </si>
  <si>
    <t>2025-12-02 09:00</t>
  </si>
  <si>
    <t>CLI-1287</t>
  </si>
  <si>
    <t>2026-05-16 18:00</t>
  </si>
  <si>
    <t>CLI-1288</t>
  </si>
  <si>
    <t>2026-05-26 15:00</t>
  </si>
  <si>
    <t>CLI-1289</t>
  </si>
  <si>
    <t>2025-12-07 18:00</t>
  </si>
  <si>
    <t>CLI-1290</t>
  </si>
  <si>
    <t>Leonardo Silva</t>
  </si>
  <si>
    <t>2026-05-22 21:00</t>
  </si>
  <si>
    <t>CLI-1291</t>
  </si>
  <si>
    <t>Sofia Santos</t>
  </si>
  <si>
    <t>2025-09-30 21:00</t>
  </si>
  <si>
    <t>CLI-1292</t>
  </si>
  <si>
    <t>CLI-1293</t>
  </si>
  <si>
    <t>2026-04-05 12:00</t>
  </si>
  <si>
    <t>CLI-1294</t>
  </si>
  <si>
    <t>2026-03-11 18:00</t>
  </si>
  <si>
    <t>CLI-1295</t>
  </si>
  <si>
    <t>2025-09-21 18:00</t>
  </si>
  <si>
    <t>CLI-1296</t>
  </si>
  <si>
    <t>Guilherme Dias</t>
  </si>
  <si>
    <t>2025-07-03 21:00</t>
  </si>
  <si>
    <t>CLI-1297</t>
  </si>
  <si>
    <t>2025-06-28 09:00</t>
  </si>
  <si>
    <t>CLI-1298</t>
  </si>
  <si>
    <t>Camila Santos</t>
  </si>
  <si>
    <t>2025-10-23 12:00</t>
  </si>
  <si>
    <t>CLI-1299</t>
  </si>
  <si>
    <t>2025-08-06 15:00</t>
  </si>
  <si>
    <t>CLI-1300</t>
  </si>
  <si>
    <t>2025-07-07 08:00</t>
  </si>
  <si>
    <t>CLI-1301</t>
  </si>
  <si>
    <t>Mateus Alves</t>
  </si>
  <si>
    <t>2025-07-23 19:00</t>
  </si>
  <si>
    <t>CLI-1302</t>
  </si>
  <si>
    <t>2025-12-14 10:00</t>
  </si>
  <si>
    <t>CLI-1303</t>
  </si>
  <si>
    <t>2025-09-16 12:00</t>
  </si>
  <si>
    <t>CLI-1304</t>
  </si>
  <si>
    <t>2025-07-27 20:00</t>
  </si>
  <si>
    <t>CLI-1305</t>
  </si>
  <si>
    <t>2025-12-10 09:00</t>
  </si>
  <si>
    <t>CLI-1306</t>
  </si>
  <si>
    <t>2025-09-05 10:00</t>
  </si>
  <si>
    <t>CLI-1307</t>
  </si>
  <si>
    <t>2025-10-12 12:00</t>
  </si>
  <si>
    <t>CLI-1308</t>
  </si>
  <si>
    <t>2025-11-24 09:00</t>
  </si>
  <si>
    <t>CLI-1309</t>
  </si>
  <si>
    <t>2026-03-18 21:00</t>
  </si>
  <si>
    <t>CLI-1310</t>
  </si>
  <si>
    <t>2025-10-11 22:00</t>
  </si>
  <si>
    <t>CLI-1311</t>
  </si>
  <si>
    <t>Isabela Lima</t>
  </si>
  <si>
    <t>2025-08-06 10:00</t>
  </si>
  <si>
    <t>CLI-1312</t>
  </si>
  <si>
    <t>2025-09-29 21:00</t>
  </si>
  <si>
    <t>CLI-1313</t>
  </si>
  <si>
    <t>2026-03-27 12:00</t>
  </si>
  <si>
    <t>CLI-1314</t>
  </si>
  <si>
    <t>2026-01-02 20:00</t>
  </si>
  <si>
    <t>CLI-1315</t>
  </si>
  <si>
    <t>2025-12-20 09:00</t>
  </si>
  <si>
    <t>CLI-1316</t>
  </si>
  <si>
    <t>2025-08-22 17:00</t>
  </si>
  <si>
    <t>CLI-1317</t>
  </si>
  <si>
    <t>2026-01-07 18:00</t>
  </si>
  <si>
    <t>CLI-1318</t>
  </si>
  <si>
    <t>2026-05-19 08:00</t>
  </si>
  <si>
    <t>CLI-1319</t>
  </si>
  <si>
    <t>2025-11-24 15:00</t>
  </si>
  <si>
    <t>CLI-1320</t>
  </si>
  <si>
    <t>2025-09-30 16:00</t>
  </si>
  <si>
    <t>CLI-1321</t>
  </si>
  <si>
    <t>2025-10-17 13:00</t>
  </si>
  <si>
    <t>CLI-1322</t>
  </si>
  <si>
    <t>2026-05-16 20:00</t>
  </si>
  <si>
    <t>CLI-1323</t>
  </si>
  <si>
    <t>2026-04-27 09:00</t>
  </si>
  <si>
    <t>CLI-1324</t>
  </si>
  <si>
    <t>CLI-1325</t>
  </si>
  <si>
    <t>2025-09-09 11:00</t>
  </si>
  <si>
    <t>CLI-1326</t>
  </si>
  <si>
    <t>Ana Júlia Oliveira</t>
  </si>
  <si>
    <t>2025-07-03 15:00</t>
  </si>
  <si>
    <t>CLI-1327</t>
  </si>
  <si>
    <t>2026-05-24 13:00</t>
  </si>
  <si>
    <t>CLI-1328</t>
  </si>
  <si>
    <t>2026-04-15 12:00</t>
  </si>
  <si>
    <t>CLI-1329</t>
  </si>
  <si>
    <t>2026-01-15 17:00</t>
  </si>
  <si>
    <t>CLI-1330</t>
  </si>
  <si>
    <t>2026-02-28 20:00</t>
  </si>
  <si>
    <t>CLI-1331</t>
  </si>
  <si>
    <t>2026-05-04 19:00</t>
  </si>
  <si>
    <t>CLI-1332</t>
  </si>
  <si>
    <t>Thiago Santos</t>
  </si>
  <si>
    <t>2025-09-21 22:00</t>
  </si>
  <si>
    <t>CLI-1333</t>
  </si>
  <si>
    <t>2026-02-24 15:00</t>
  </si>
  <si>
    <t>CLI-1334</t>
  </si>
  <si>
    <t>2026-03-07 14:00</t>
  </si>
  <si>
    <t>CLI-1335</t>
  </si>
  <si>
    <t>Vinícius Lima</t>
  </si>
  <si>
    <t>2025-07-28 09:00</t>
  </si>
  <si>
    <t>CLI-1336</t>
  </si>
  <si>
    <t>Letícia Silva</t>
  </si>
  <si>
    <t>2025-08-15 16:00</t>
  </si>
  <si>
    <t>CLI-1337</t>
  </si>
  <si>
    <t>2026-02-16 17:00</t>
  </si>
  <si>
    <t>CLI-1338</t>
  </si>
  <si>
    <t>2026-03-16 16:00</t>
  </si>
  <si>
    <t>CLI-1339</t>
  </si>
  <si>
    <t>2025-09-03 15:00</t>
  </si>
  <si>
    <t>CLI-1340</t>
  </si>
  <si>
    <t>2025-10-18 09:00</t>
  </si>
  <si>
    <t>CLI-1341</t>
  </si>
  <si>
    <t>2025-08-25 21:00</t>
  </si>
  <si>
    <t>CLI-1342</t>
  </si>
  <si>
    <t>2026-04-25 21:00</t>
  </si>
  <si>
    <t>CLI-1343</t>
  </si>
  <si>
    <t>Ana Júlia Dias</t>
  </si>
  <si>
    <t>2026-03-28 09:00</t>
  </si>
  <si>
    <t>CLI-1344</t>
  </si>
  <si>
    <t>2025-11-23 20:00</t>
  </si>
  <si>
    <t>CLI-1345</t>
  </si>
  <si>
    <t>Leonardo Lima</t>
  </si>
  <si>
    <t>2026-01-14 15:00</t>
  </si>
  <si>
    <t>CLI-1346</t>
  </si>
  <si>
    <t>2025-10-08 09:00</t>
  </si>
  <si>
    <t>CLI-1347</t>
  </si>
  <si>
    <t>2025-08-03 12:00</t>
  </si>
  <si>
    <t>CLI-1348</t>
  </si>
  <si>
    <t>2025-11-25 20:00</t>
  </si>
  <si>
    <t>CLI-1349</t>
  </si>
  <si>
    <t>2025-12-09 15:00</t>
  </si>
  <si>
    <t>ID Artista</t>
  </si>
  <si>
    <t>Tipo de Perfil</t>
  </si>
  <si>
    <t>Nome / Estúdio</t>
  </si>
  <si>
    <t>Especialidade Principal</t>
  </si>
  <si>
    <t>Anos de Experiência</t>
  </si>
  <si>
    <t>Bairro (Sede)</t>
  </si>
  <si>
    <t>Plano Contratado</t>
  </si>
  <si>
    <t>Visitas no Perfil</t>
  </si>
  <si>
    <t>Orçamentos Enviados</t>
  </si>
  <si>
    <t>Tempo Médio Resposta (h)</t>
  </si>
  <si>
    <t>Nota Média (Clientes)</t>
  </si>
  <si>
    <t>Status Assinatura</t>
  </si>
  <si>
    <t>Data Assinatura</t>
  </si>
  <si>
    <t>Data Cancelamento</t>
  </si>
  <si>
    <t>LTV (Receita App) R$</t>
  </si>
  <si>
    <t>ART-5000</t>
  </si>
  <si>
    <t>Tatuador Autônomo</t>
  </si>
  <si>
    <t>Sofia Ribeiro (Ink)</t>
  </si>
  <si>
    <t>Perfil de Divulgação (Único)</t>
  </si>
  <si>
    <t>Ativo</t>
  </si>
  <si>
    <t>2026-03-13</t>
  </si>
  <si>
    <t>ART-5001</t>
  </si>
  <si>
    <t>Bruno Martins (Ink)</t>
  </si>
  <si>
    <t>2026-04-07</t>
  </si>
  <si>
    <t>ART-5002</t>
  </si>
  <si>
    <t>Carlos Silva</t>
  </si>
  <si>
    <t>2026-01-13</t>
  </si>
  <si>
    <t>ART-5003</t>
  </si>
  <si>
    <t>Julia Dias (Art)</t>
  </si>
  <si>
    <t>2026-01-12</t>
  </si>
  <si>
    <t>ART-5004</t>
  </si>
  <si>
    <t>Estúdio Corporativo</t>
  </si>
  <si>
    <t>Aquarela Ink</t>
  </si>
  <si>
    <t>2025-10-26</t>
  </si>
  <si>
    <t>ART-5005</t>
  </si>
  <si>
    <t>Traço Fino Estúdio</t>
  </si>
  <si>
    <t>2026-02-24</t>
  </si>
  <si>
    <t>ART-5006</t>
  </si>
  <si>
    <t>Vibe Tattoo</t>
  </si>
  <si>
    <t>2025-10-02</t>
  </si>
  <si>
    <t>ART-5007</t>
  </si>
  <si>
    <t>2025-10-01</t>
  </si>
  <si>
    <t>ART-5008</t>
  </si>
  <si>
    <t>Ricardo Gomes</t>
  </si>
  <si>
    <t>ART-5009</t>
  </si>
  <si>
    <t>2026-04-01</t>
  </si>
  <si>
    <t>ART-5010</t>
  </si>
  <si>
    <t>2026-05-08</t>
  </si>
  <si>
    <t>ART-5011</t>
  </si>
  <si>
    <t>Roots Tattoo</t>
  </si>
  <si>
    <t>2025-09-06</t>
  </si>
  <si>
    <t>ART-5012</t>
  </si>
  <si>
    <t>Barão Tattoo Studio</t>
  </si>
  <si>
    <t>2026-01-30</t>
  </si>
  <si>
    <t>ART-5013</t>
  </si>
  <si>
    <t>ART-5014</t>
  </si>
  <si>
    <t>2026-04-20</t>
  </si>
  <si>
    <t>ART-5015</t>
  </si>
  <si>
    <t>2026-03-20</t>
  </si>
  <si>
    <t>ART-5016</t>
  </si>
  <si>
    <t>Felipe Ferreira (Art)</t>
  </si>
  <si>
    <t>2025-11-19</t>
  </si>
  <si>
    <t>ART-5017</t>
  </si>
  <si>
    <t>Larissa Souza</t>
  </si>
  <si>
    <t>2025-12-04</t>
  </si>
  <si>
    <t>ART-5018</t>
  </si>
  <si>
    <t>Soul Ink Studio</t>
  </si>
  <si>
    <t>ART-5019</t>
  </si>
  <si>
    <t>2026-02-16</t>
  </si>
  <si>
    <t>ART-5020</t>
  </si>
  <si>
    <t>Thiago Araújo</t>
  </si>
  <si>
    <t>2026-04-18</t>
  </si>
  <si>
    <t>ART-5021</t>
  </si>
  <si>
    <t>Cambuí Art Tattoo</t>
  </si>
  <si>
    <t>2026-01-15</t>
  </si>
  <si>
    <t>ART-5022</t>
  </si>
  <si>
    <t>2026-02-13</t>
  </si>
  <si>
    <t>ART-5023</t>
  </si>
  <si>
    <t>Ana Costa</t>
  </si>
  <si>
    <t>2026-02-12</t>
  </si>
  <si>
    <t>ART-5024</t>
  </si>
  <si>
    <t>2026-02-14</t>
  </si>
  <si>
    <t>ART-5025</t>
  </si>
  <si>
    <t>Sofia Ribeiro</t>
  </si>
  <si>
    <t>2026-01-05</t>
  </si>
  <si>
    <t>ART-5026</t>
  </si>
  <si>
    <t>Minimal Ink</t>
  </si>
  <si>
    <t>2026-01-23</t>
  </si>
  <si>
    <t>ART-5027</t>
  </si>
  <si>
    <t>2026-02-11</t>
  </si>
  <si>
    <t>ART-5028</t>
  </si>
  <si>
    <t>Julia Dias</t>
  </si>
  <si>
    <t>2025-12-05</t>
  </si>
  <si>
    <t>ART-5029</t>
  </si>
  <si>
    <t>2025-12-15</t>
  </si>
  <si>
    <t>ART-5030</t>
  </si>
  <si>
    <t>Mestre das Agulhas</t>
  </si>
  <si>
    <t>2025-08-29</t>
  </si>
  <si>
    <t>ART-5031</t>
  </si>
  <si>
    <t>Diego Santos</t>
  </si>
  <si>
    <t>Cancelado</t>
  </si>
  <si>
    <t>2025-11-16</t>
  </si>
  <si>
    <t>2026-01-29</t>
  </si>
  <si>
    <t>ART-5032</t>
  </si>
  <si>
    <t>Lucas Alves (Art)</t>
  </si>
  <si>
    <t>2026-04-05</t>
  </si>
  <si>
    <t>ART-5033</t>
  </si>
  <si>
    <t>Pele &amp; Arte</t>
  </si>
  <si>
    <t>ART-5034</t>
  </si>
  <si>
    <t>2025-11-29</t>
  </si>
  <si>
    <t>ART-5035</t>
  </si>
  <si>
    <t>2026-03-31</t>
  </si>
  <si>
    <t>ART-5036</t>
  </si>
  <si>
    <t>2025-12-23</t>
  </si>
  <si>
    <t>ART-5037</t>
  </si>
  <si>
    <t>NeoTrad Studio</t>
  </si>
  <si>
    <t>ART-5038</t>
  </si>
  <si>
    <t>Diego Santos (Art)</t>
  </si>
  <si>
    <t>2025-09-29</t>
  </si>
  <si>
    <t>ART-5039</t>
  </si>
  <si>
    <t>2025-10-06</t>
  </si>
  <si>
    <t>ART-5040</t>
  </si>
  <si>
    <t>2025-12-17</t>
  </si>
  <si>
    <t>ART-5041</t>
  </si>
  <si>
    <t>Urban Tattoo</t>
  </si>
  <si>
    <t>2026-04-03</t>
  </si>
  <si>
    <t>ART-5042</t>
  </si>
  <si>
    <t>2026-01-06</t>
  </si>
  <si>
    <t>ART-5043</t>
  </si>
  <si>
    <t>Bruno Martins</t>
  </si>
  <si>
    <t>2026-05-12</t>
  </si>
  <si>
    <t>ART-5044</t>
  </si>
  <si>
    <t>Larissa Souza (Art)</t>
  </si>
  <si>
    <t>2025-09-30</t>
  </si>
  <si>
    <t>ART-5045</t>
  </si>
  <si>
    <t>2025-12-03</t>
  </si>
  <si>
    <t>ART-5046</t>
  </si>
  <si>
    <t>2026-02-23</t>
  </si>
  <si>
    <t>ART-5047</t>
  </si>
  <si>
    <t>Beatriz Lima (Art)</t>
  </si>
  <si>
    <t>2026-02-08</t>
  </si>
  <si>
    <t>ART-5048</t>
  </si>
  <si>
    <t>Sofia Ribeiro (Art)</t>
  </si>
  <si>
    <t>ART-5049</t>
  </si>
  <si>
    <t>2026-04-15</t>
  </si>
  <si>
    <t>ART-5050</t>
  </si>
  <si>
    <t>Camila Rocha</t>
  </si>
  <si>
    <t>2026-03-04</t>
  </si>
  <si>
    <t>ART-5051</t>
  </si>
  <si>
    <t>2025-12-27</t>
  </si>
  <si>
    <t>ART-5052</t>
  </si>
  <si>
    <t>2026-04-11</t>
  </si>
  <si>
    <t>ART-5053</t>
  </si>
  <si>
    <t>João Mendes</t>
  </si>
  <si>
    <t>2026-03-09</t>
  </si>
  <si>
    <t>ART-5054</t>
  </si>
  <si>
    <t>InkCamp Studio</t>
  </si>
  <si>
    <t>2025-11-20</t>
  </si>
  <si>
    <t>ART-5055</t>
  </si>
  <si>
    <t>ART-5056</t>
  </si>
  <si>
    <t>2026-01-31</t>
  </si>
  <si>
    <t>ART-5057</t>
  </si>
  <si>
    <t>Thiago Araújo (Ink)</t>
  </si>
  <si>
    <t>2025-09-05</t>
  </si>
  <si>
    <t>ART-5058</t>
  </si>
  <si>
    <t>2026-01-14</t>
  </si>
  <si>
    <t>ART-5059</t>
  </si>
  <si>
    <t>2025-12-21</t>
  </si>
  <si>
    <t>ART-5060</t>
  </si>
  <si>
    <t>Realismo Br</t>
  </si>
  <si>
    <t>2025-11-15</t>
  </si>
  <si>
    <t>ART-5061</t>
  </si>
  <si>
    <t>Old School Campinas</t>
  </si>
  <si>
    <t>ART-5062</t>
  </si>
  <si>
    <t>ART-5063</t>
  </si>
  <si>
    <t>2026-03-22</t>
  </si>
  <si>
    <t>ART-5064</t>
  </si>
  <si>
    <t>Diego Santos (Tattoo)</t>
  </si>
  <si>
    <t>2025-06-23</t>
  </si>
  <si>
    <t>ART-5065</t>
  </si>
  <si>
    <t>Taquaral Tattoo</t>
  </si>
  <si>
    <t>ART-5066</t>
  </si>
  <si>
    <t>2026-03-06</t>
  </si>
  <si>
    <t>ART-5067</t>
  </si>
  <si>
    <t>ART-5068</t>
  </si>
  <si>
    <t>ART-5069</t>
  </si>
  <si>
    <t>2025-08-25</t>
  </si>
  <si>
    <t>ART-5070</t>
  </si>
  <si>
    <t>ART-5071</t>
  </si>
  <si>
    <t>ART-5072</t>
  </si>
  <si>
    <t>2026-04-04</t>
  </si>
  <si>
    <t>ART-5073</t>
  </si>
  <si>
    <t>2026-03-07</t>
  </si>
  <si>
    <t>ART-5074</t>
  </si>
  <si>
    <t>Julia Dias (Tattoo)</t>
  </si>
  <si>
    <t>ART-5075</t>
  </si>
  <si>
    <t>2026-02-17</t>
  </si>
  <si>
    <t>ART-5076</t>
  </si>
  <si>
    <t>ART-5077</t>
  </si>
  <si>
    <t>ART-5078</t>
  </si>
  <si>
    <t>Blackwork Masters</t>
  </si>
  <si>
    <t>2026-04-17</t>
  </si>
  <si>
    <t>ART-5079</t>
  </si>
  <si>
    <t>2025-08-23</t>
  </si>
  <si>
    <t>ART-5080</t>
  </si>
  <si>
    <t>2026-01-20</t>
  </si>
  <si>
    <t>ART-5081</t>
  </si>
  <si>
    <t>2026-04-22</t>
  </si>
  <si>
    <t>ART-5082</t>
  </si>
  <si>
    <t>2025-12-10</t>
  </si>
  <si>
    <t>ART-5083</t>
  </si>
  <si>
    <t>ART-5084</t>
  </si>
  <si>
    <t>Ink Custom</t>
  </si>
  <si>
    <t>ART-5085</t>
  </si>
  <si>
    <t>Estúdio 19</t>
  </si>
  <si>
    <t>ART-5086</t>
  </si>
  <si>
    <t>ART-5087</t>
  </si>
  <si>
    <t>ART-5088</t>
  </si>
  <si>
    <t>2025-10-24</t>
  </si>
  <si>
    <t>ART-5089</t>
  </si>
  <si>
    <t>2025-10-10</t>
  </si>
  <si>
    <t>ART-5090</t>
  </si>
  <si>
    <t>ART-5091</t>
  </si>
  <si>
    <t>ART-5092</t>
  </si>
  <si>
    <t>Beatriz Lima (Tattoo)</t>
  </si>
  <si>
    <t>2025-07-16</t>
  </si>
  <si>
    <t>ART-5093</t>
  </si>
  <si>
    <t>2026-01-26</t>
  </si>
  <si>
    <t>ART-5094</t>
  </si>
  <si>
    <t>ART-5095</t>
  </si>
  <si>
    <t>2026-01-03</t>
  </si>
  <si>
    <t>ART-5096</t>
  </si>
  <si>
    <t>2026-01-01</t>
  </si>
  <si>
    <t>ART-5097</t>
  </si>
  <si>
    <t>ART-5098</t>
  </si>
  <si>
    <t>ART-5099</t>
  </si>
  <si>
    <t>Carlos Silva (Ink)</t>
  </si>
  <si>
    <t>2025-12-01</t>
  </si>
  <si>
    <t>ART-5100</t>
  </si>
  <si>
    <t>2025-09-28</t>
  </si>
  <si>
    <t>ART-5101</t>
  </si>
  <si>
    <t>2025-09-23</t>
  </si>
  <si>
    <t>ART-5102</t>
  </si>
  <si>
    <t>ART-5103</t>
  </si>
  <si>
    <t>2025-12-28</t>
  </si>
  <si>
    <t>ART-5104</t>
  </si>
  <si>
    <t>2026-02-21</t>
  </si>
  <si>
    <t>ART-5105</t>
  </si>
  <si>
    <t>2025-07-08</t>
  </si>
  <si>
    <t>ART-5106</t>
  </si>
  <si>
    <t>ART-5107</t>
  </si>
  <si>
    <t>2025-12-11</t>
  </si>
  <si>
    <t>ART-5108</t>
  </si>
  <si>
    <t>2026-03-10</t>
  </si>
  <si>
    <t>ART-5109</t>
  </si>
  <si>
    <t>ART-5110</t>
  </si>
  <si>
    <t>ART-5111</t>
  </si>
  <si>
    <t>2025-12-16</t>
  </si>
  <si>
    <t>ART-5112</t>
  </si>
  <si>
    <t>Carlos Silva (Art)</t>
  </si>
  <si>
    <t>2026-02-09</t>
  </si>
  <si>
    <t>ART-5113</t>
  </si>
  <si>
    <t>ART-5114</t>
  </si>
  <si>
    <t>2025-10-07</t>
  </si>
  <si>
    <t>ART-5115</t>
  </si>
  <si>
    <t>ART-5116</t>
  </si>
  <si>
    <t>Camila Rocha (Art)</t>
  </si>
  <si>
    <t>ART-5117</t>
  </si>
  <si>
    <t>2026-02-15</t>
  </si>
  <si>
    <t>ART-5118</t>
  </si>
  <si>
    <t>2026-03-14</t>
  </si>
  <si>
    <t>ART-5119</t>
  </si>
  <si>
    <t>2026-03-11</t>
  </si>
  <si>
    <t>ART-5120</t>
  </si>
  <si>
    <t>2026-01-27</t>
  </si>
  <si>
    <t>ART-5121</t>
  </si>
  <si>
    <t>2025-09-17</t>
  </si>
  <si>
    <t>ART-5122</t>
  </si>
  <si>
    <t>2026-04-13</t>
  </si>
  <si>
    <t>ART-5123</t>
  </si>
  <si>
    <t>2026-03-16</t>
  </si>
  <si>
    <t>ART-5124</t>
  </si>
  <si>
    <t>Felipe Ferreira (Tattoo)</t>
  </si>
  <si>
    <t>2026-05-24</t>
  </si>
  <si>
    <t>ART-5125</t>
  </si>
  <si>
    <t>2026-03-23</t>
  </si>
  <si>
    <t>ART-5126</t>
  </si>
  <si>
    <t>2025-08-08</t>
  </si>
  <si>
    <t>ART-5127</t>
  </si>
  <si>
    <t>2026-02-26</t>
  </si>
  <si>
    <t>ART-5128</t>
  </si>
  <si>
    <t>2025-10-27</t>
  </si>
  <si>
    <t>ART-5129</t>
  </si>
  <si>
    <t>2026-02-20</t>
  </si>
  <si>
    <t>ART-5130</t>
  </si>
  <si>
    <t>ART-5131</t>
  </si>
  <si>
    <t>2026-01-17</t>
  </si>
  <si>
    <t>2026-02-25</t>
  </si>
  <si>
    <t>ART-5132</t>
  </si>
  <si>
    <t>ART-5133</t>
  </si>
  <si>
    <t>Thiago Araújo (Tattoo)</t>
  </si>
  <si>
    <t>ART-5134</t>
  </si>
  <si>
    <t>2026-06-26</t>
  </si>
  <si>
    <t>ART-5135</t>
  </si>
  <si>
    <t>2026-02-22</t>
  </si>
  <si>
    <t>2026-05-29</t>
  </si>
  <si>
    <t>ART-5136</t>
  </si>
  <si>
    <t>Ana Costa (Art)</t>
  </si>
  <si>
    <t>2026-03-27</t>
  </si>
  <si>
    <t>ART-5137</t>
  </si>
  <si>
    <t>2025-10-12</t>
  </si>
  <si>
    <t>ART-5138</t>
  </si>
  <si>
    <t>Ana Costa (Ink)</t>
  </si>
  <si>
    <t>ART-5139</t>
  </si>
  <si>
    <t>2025-12-20</t>
  </si>
  <si>
    <t>ART-5140</t>
  </si>
  <si>
    <t>ART-5141</t>
  </si>
  <si>
    <t>ART-5142</t>
  </si>
  <si>
    <t>2025-09-18</t>
  </si>
  <si>
    <t>ART-5143</t>
  </si>
  <si>
    <t>ART-5144</t>
  </si>
  <si>
    <t>2025-10-11</t>
  </si>
  <si>
    <t>ART-5145</t>
  </si>
  <si>
    <t>Agulha Negra</t>
  </si>
  <si>
    <t>2025-09-02</t>
  </si>
  <si>
    <t>ART-5146</t>
  </si>
  <si>
    <t>2026-04-02</t>
  </si>
  <si>
    <t>ART-5147</t>
  </si>
  <si>
    <t>2025-07-04</t>
  </si>
  <si>
    <t>ART-5148</t>
  </si>
  <si>
    <t>2026-05-03</t>
  </si>
  <si>
    <t>ART-5149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</si>
</sst>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 &quot;#,##0.00"/>
  </numFmts>
  <fonts count="11">
    <font>
      <sz val="11.0"/>
      <color theme="1"/>
      <name val="Calibri"/>
      <scheme val="minor"/>
    </font>
    <font>
      <b/>
      <sz val="18.0"/>
      <color rgb="FF0A0A0A"/>
      <name val="Quattrocento Sans"/>
    </font>
    <font>
      <b/>
      <sz val="12.0"/>
      <color theme="1"/>
      <name val="Quattrocento Sans"/>
    </font>
    <font>
      <b/>
      <sz val="11.0"/>
      <color rgb="FFFFFFFF"/>
      <name val="Quattrocento Sans"/>
    </font>
    <font>
      <color theme="1"/>
      <name val="Calibri"/>
      <scheme val="minor"/>
    </font>
    <font>
      <sz val="10.0"/>
      <color rgb="FF1F2937"/>
      <name val="Quattrocento Sans"/>
    </font>
    <font>
      <b/>
      <color rgb="FFFFFFFF"/>
      <name val="Calibri"/>
      <scheme val="minor"/>
    </font>
    <font>
      <b/>
      <color theme="1"/>
      <name val="Calibri"/>
      <scheme val="minor"/>
    </font>
    <font>
      <b/>
      <sz val="10.0"/>
      <color rgb="FF10B981"/>
      <name val="Quattrocento Sans"/>
    </font>
    <font>
      <b/>
      <sz val="10.0"/>
      <color rgb="FF3B82F6"/>
      <name val="Quattrocento Sans"/>
    </font>
    <font>
      <b/>
      <sz val="10.0"/>
      <color rgb="FFEF4444"/>
      <name val="Quattrocento Sans"/>
    </font>
  </fonts>
  <fills count="5">
    <fill>
      <patternFill patternType="none"/>
    </fill>
    <fill>
      <patternFill patternType="lightGray"/>
    </fill>
    <fill>
      <patternFill patternType="solid">
        <fgColor rgb="FF262626"/>
        <bgColor rgb="FF262626"/>
      </patternFill>
    </fill>
    <fill>
      <patternFill patternType="solid">
        <fgColor rgb="FFF9FAFB"/>
        <bgColor rgb="FFF9FAFB"/>
      </patternFill>
    </fill>
    <fill>
      <patternFill patternType="solid">
        <fgColor rgb="FF435E91"/>
        <bgColor rgb="FF435E91"/>
      </patternFill>
    </fill>
  </fills>
  <borders count="3">
    <border/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/>
    </xf>
    <xf borderId="0" fillId="0" fontId="4" numFmtId="0" xfId="0" applyAlignment="1" applyFont="1">
      <alignment horizontal="center"/>
    </xf>
    <xf borderId="1" fillId="3" fontId="5" numFmtId="0" xfId="0" applyAlignment="1" applyBorder="1" applyFill="1" applyFont="1">
      <alignment horizontal="center"/>
    </xf>
    <xf borderId="1" fillId="3" fontId="5" numFmtId="164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/>
    </xf>
    <xf borderId="1" fillId="0" fontId="5" numFmtId="164" xfId="0" applyAlignment="1" applyBorder="1" applyFont="1" applyNumberFormat="1">
      <alignment horizontal="center"/>
    </xf>
    <xf borderId="2" fillId="4" fontId="6" numFmtId="0" xfId="0" applyAlignment="1" applyBorder="1" applyFill="1" applyFont="1">
      <alignment horizontal="center"/>
    </xf>
    <xf borderId="2" fillId="0" fontId="4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1" fillId="3" fontId="5" numFmtId="164" xfId="0" applyAlignment="1" applyBorder="1" applyFont="1" applyNumberFormat="1">
      <alignment horizontal="right"/>
    </xf>
    <xf borderId="1" fillId="0" fontId="5" numFmtId="164" xfId="0" applyAlignment="1" applyBorder="1" applyFont="1" applyNumberFormat="1">
      <alignment horizontal="right"/>
    </xf>
    <xf borderId="1" fillId="3" fontId="8" numFmtId="0" xfId="0" applyAlignment="1" applyBorder="1" applyFont="1">
      <alignment horizontal="center"/>
    </xf>
    <xf borderId="1" fillId="0" fontId="8" numFmtId="0" xfId="0" applyAlignment="1" applyBorder="1" applyFont="1">
      <alignment horizontal="center"/>
    </xf>
    <xf borderId="1" fillId="3" fontId="9" numFmtId="0" xfId="0" applyAlignment="1" applyBorder="1" applyFont="1">
      <alignment horizontal="center"/>
    </xf>
    <xf borderId="1" fillId="0" fontId="9" numFmtId="0" xfId="0" applyAlignment="1" applyBorder="1" applyFont="1">
      <alignment horizontal="center"/>
    </xf>
    <xf borderId="1" fillId="0" fontId="10" numFmtId="0" xfId="0" applyAlignment="1" applyBorder="1" applyFont="1">
      <alignment horizontal="center"/>
    </xf>
    <xf borderId="1" fillId="3" fontId="10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Estilos Procurados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'📊 Análises Clientes (B2C)'!$C$4</c:f>
            </c:strRef>
          </c:tx>
          <c:spPr>
            <a:solidFill>
              <a:srgbClr val="36608D"/>
            </a:solidFill>
            <a:ln cmpd="sng">
              <a:solidFill>
                <a:srgbClr val="000000"/>
              </a:solidFill>
            </a:ln>
          </c:spPr>
          <c:cat>
            <c:strRef>
              <c:f>'📊 Análises Clientes (B2C)'!$B$5:$B$13</c:f>
            </c:strRef>
          </c:cat>
          <c:val>
            <c:numRef>
              <c:f>'📊 Análises Clientes (B2C)'!$C$5:$C$13</c:f>
              <c:numCache/>
            </c:numRef>
          </c:val>
        </c:ser>
        <c:axId val="1824163320"/>
        <c:axId val="1061353485"/>
      </c:barChart>
      <c:catAx>
        <c:axId val="18241633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Estilo de Tatuagem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1353485"/>
      </c:catAx>
      <c:valAx>
        <c:axId val="10613534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Volume de Buscas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416332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Ticket Médio por Tamanho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'📊 Análises Clientes (B2C)'!$G$4</c:f>
            </c:strRef>
          </c:tx>
          <c:spPr>
            <a:solidFill>
              <a:srgbClr val="36608D"/>
            </a:solidFill>
            <a:ln cmpd="sng">
              <a:solidFill>
                <a:srgbClr val="000000"/>
              </a:solidFill>
            </a:ln>
          </c:spPr>
          <c:cat>
            <c:strRef>
              <c:f>'📊 Análises Clientes (B2C)'!$F$5:$F$9</c:f>
            </c:strRef>
          </c:cat>
          <c:val>
            <c:numRef>
              <c:f>'📊 Análises Clientes (B2C)'!$G$5:$G$9</c:f>
              <c:numCache/>
            </c:numRef>
          </c:val>
        </c:ser>
        <c:axId val="1832652777"/>
        <c:axId val="1746909476"/>
      </c:barChart>
      <c:catAx>
        <c:axId val="18326527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Tamanho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6909476"/>
      </c:catAx>
      <c:valAx>
        <c:axId val="17469094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Ticket Médio (R$)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26527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Canais de Origem mais Utilizados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'📊 Análises Clientes (B2C)'!$C$16</c:f>
            </c:strRef>
          </c:tx>
          <c:spPr>
            <a:solidFill>
              <a:srgbClr val="435E91"/>
            </a:solidFill>
            <a:ln cmpd="sng">
              <a:solidFill>
                <a:srgbClr val="000000"/>
              </a:solidFill>
            </a:ln>
          </c:spPr>
          <c:cat>
            <c:strRef>
              <c:f>'📊 Análises Clientes (B2C)'!$B$17:$B$21</c:f>
            </c:strRef>
          </c:cat>
          <c:val>
            <c:numRef>
              <c:f>'📊 Análises Clientes (B2C)'!$C$17:$C$21</c:f>
              <c:numCache/>
            </c:numRef>
          </c:val>
        </c:ser>
        <c:axId val="1514693225"/>
        <c:axId val="845875891"/>
      </c:barChart>
      <c:catAx>
        <c:axId val="151469322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5875891"/>
      </c:catAx>
      <c:valAx>
        <c:axId val="84587589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4693225"/>
        <c:crosses val="max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Locais do Corpo mais Procurados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'📊 Análises Clientes (B2C)'!$G$16</c:f>
            </c:strRef>
          </c:tx>
          <c:spPr>
            <a:solidFill>
              <a:srgbClr val="435E91"/>
            </a:solidFill>
            <a:ln cmpd="sng">
              <a:solidFill>
                <a:srgbClr val="000000"/>
              </a:solidFill>
            </a:ln>
          </c:spPr>
          <c:cat>
            <c:strRef>
              <c:f>'📊 Análises Clientes (B2C)'!$F$17:$F$25</c:f>
            </c:strRef>
          </c:cat>
          <c:val>
            <c:numRef>
              <c:f>'📊 Análises Clientes (B2C)'!$G$17:$G$25</c:f>
              <c:numCache/>
            </c:numRef>
          </c:val>
        </c:ser>
        <c:axId val="1978859826"/>
        <c:axId val="1376576046"/>
      </c:barChart>
      <c:catAx>
        <c:axId val="197885982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Local do Corpo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6576046"/>
      </c:catAx>
      <c:valAx>
        <c:axId val="13765760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8859826"/>
        <c:crosses val="max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Distribuição de Gênero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'📊 Análises Clientes (B2C)'!$B$28:$B$30</c:f>
            </c:strRef>
          </c:cat>
          <c:val>
            <c:numRef>
              <c:f>'📊 Análises Clientes (B2C)'!$C$28:$C$30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Cidades mais Cadastradas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'📊 Análises Clientes (B2C)'!$G$28</c:f>
            </c:strRef>
          </c:tx>
          <c:spPr>
            <a:solidFill>
              <a:srgbClr val="435E91"/>
            </a:solidFill>
            <a:ln cmpd="sng">
              <a:solidFill>
                <a:srgbClr val="000000"/>
              </a:solidFill>
            </a:ln>
          </c:spPr>
          <c:cat>
            <c:strRef>
              <c:f>'📊 Análises Clientes (B2C)'!$F$29:$F$33</c:f>
            </c:strRef>
          </c:cat>
          <c:val>
            <c:numRef>
              <c:f>'📊 Análises Clientes (B2C)'!$G$29:$G$33</c:f>
              <c:numCache/>
            </c:numRef>
          </c:val>
        </c:ser>
        <c:axId val="975767763"/>
        <c:axId val="379034209"/>
      </c:barChart>
      <c:catAx>
        <c:axId val="9757677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9034209"/>
      </c:catAx>
      <c:valAx>
        <c:axId val="3790342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5767763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Evolução do Faturamento Recorrente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'📈 Análises Parceiros (B2B)'!$F$5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'📈 Análises Parceiros (B2B)'!$B$6:$B$18</c:f>
            </c:strRef>
          </c:cat>
          <c:val>
            <c:numRef>
              <c:f>'📈 Análises Parceiros (B2B)'!$F$6:$F$18</c:f>
              <c:numCache/>
            </c:numRef>
          </c:val>
          <c:smooth val="0"/>
        </c:ser>
        <c:axId val="769338631"/>
        <c:axId val="114349500"/>
      </c:lineChart>
      <c:catAx>
        <c:axId val="769338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349500"/>
      </c:catAx>
      <c:valAx>
        <c:axId val="1143495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9338631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Adesão Mensal (Autônomos vs Estúdios)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'📈 Análises Parceiros (B2B)'!$D$4</c:f>
            </c:strRef>
          </c:tx>
          <c:spPr>
            <a:solidFill>
              <a:srgbClr val="36608D"/>
            </a:solidFill>
            <a:ln cmpd="sng">
              <a:solidFill>
                <a:srgbClr val="000000"/>
              </a:solidFill>
            </a:ln>
          </c:spPr>
          <c:cat>
            <c:strRef>
              <c:f>'📈 Análises Parceiros (B2B)'!$B$5:$B$18</c:f>
            </c:strRef>
          </c:cat>
          <c:val>
            <c:numRef>
              <c:f>'📈 Análises Parceiros (B2B)'!$D$5:$D$18</c:f>
              <c:numCache/>
            </c:numRef>
          </c:val>
        </c:ser>
        <c:ser>
          <c:idx val="1"/>
          <c:order val="1"/>
          <c:tx>
            <c:strRef>
              <c:f>'📈 Análises Parceiros (B2B)'!$E$4</c:f>
            </c:strRef>
          </c:tx>
          <c:spPr>
            <a:solidFill>
              <a:srgbClr val="3EBF8A"/>
            </a:solidFill>
            <a:ln cmpd="sng">
              <a:solidFill>
                <a:srgbClr val="000000"/>
              </a:solidFill>
            </a:ln>
          </c:spPr>
          <c:cat>
            <c:strRef>
              <c:f>'📈 Análises Parceiros (B2B)'!$B$5:$B$18</c:f>
            </c:strRef>
          </c:cat>
          <c:val>
            <c:numRef>
              <c:f>'📈 Análises Parceiros (B2B)'!$E$5:$E$18</c:f>
              <c:numCache/>
            </c:numRef>
          </c:val>
        </c:ser>
        <c:overlap val="100"/>
        <c:axId val="1451796816"/>
        <c:axId val="39072976"/>
      </c:barChart>
      <c:catAx>
        <c:axId val="1451796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072976"/>
      </c:catAx>
      <c:valAx>
        <c:axId val="390729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Adesão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17968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Especialidade Principal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'📈 Análises Parceiros (B2B)'!$C$22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'📈 Análises Parceiros (B2B)'!$B$23:$B$31</c:f>
            </c:strRef>
          </c:cat>
          <c:val>
            <c:numRef>
              <c:f>'📈 Análises Parceiros (B2B)'!$C$23:$C$31</c:f>
              <c:numCache/>
            </c:numRef>
          </c:val>
        </c:ser>
        <c:axId val="599744433"/>
        <c:axId val="141407253"/>
      </c:barChart>
      <c:catAx>
        <c:axId val="59974443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407253"/>
      </c:catAx>
      <c:valAx>
        <c:axId val="14140725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974443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Tipo de Perfil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'📈 Análises Parceiros (B2B)'!$E$22:$E$24</c:f>
            </c:strRef>
          </c:cat>
          <c:val>
            <c:numRef>
              <c:f>'📈 Análises Parceiros (B2B)'!$F$22:$F$24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Status Assinatura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chemeClr val="accent3"/>
              </a:solidFill>
            </c:spPr>
          </c:dPt>
          <c:dPt>
            <c:idx val="2"/>
            <c:spPr>
              <a:solidFill>
                <a:schemeClr val="accent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'📈 Análises Parceiros (B2B)'!$B$35:$B$37</c:f>
            </c:strRef>
          </c:cat>
          <c:val>
            <c:numRef>
              <c:f>'📈 Análises Parceiros (B2B)'!$C$35:$C$37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Anos de Experiência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'📈 Análises Parceiros (B2B)'!$F$35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'📈 Análises Parceiros (B2B)'!$E$36:$E$50</c:f>
            </c:strRef>
          </c:cat>
          <c:val>
            <c:numRef>
              <c:f>'📈 Análises Parceiros (B2B)'!$F$36:$F$50</c:f>
              <c:numCache/>
            </c:numRef>
          </c:val>
        </c:ser>
        <c:axId val="1685463885"/>
        <c:axId val="56375369"/>
      </c:barChart>
      <c:catAx>
        <c:axId val="1685463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375369"/>
      </c:catAx>
      <c:valAx>
        <c:axId val="563753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54638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2</xdr:row>
      <xdr:rowOff>190500</xdr:rowOff>
    </xdr:from>
    <xdr:ext cx="4895850" cy="2200275"/>
    <xdr:graphicFrame>
      <xdr:nvGraphicFramePr>
        <xdr:cNvPr id="1" name="Chart 1" title="Top Estilos Procurado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15</xdr:row>
      <xdr:rowOff>0</xdr:rowOff>
    </xdr:from>
    <xdr:ext cx="6410325" cy="2200275"/>
    <xdr:graphicFrame>
      <xdr:nvGraphicFramePr>
        <xdr:cNvPr id="2" name="Chart 2" title="Ticket Médio por Tamanh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0</xdr:colOff>
      <xdr:row>27</xdr:row>
      <xdr:rowOff>0</xdr:rowOff>
    </xdr:from>
    <xdr:ext cx="5410200" cy="2200275"/>
    <xdr:graphicFrame>
      <xdr:nvGraphicFramePr>
        <xdr:cNvPr id="3" name="Chart 3" title="Canais de Origem mais Utilizado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276225</xdr:colOff>
      <xdr:row>27</xdr:row>
      <xdr:rowOff>0</xdr:rowOff>
    </xdr:from>
    <xdr:ext cx="4819650" cy="2200275"/>
    <xdr:graphicFrame>
      <xdr:nvGraphicFramePr>
        <xdr:cNvPr id="4" name="Chart 4" title="Locais do Corpo mais Procurado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16</xdr:col>
      <xdr:colOff>381000</xdr:colOff>
      <xdr:row>2</xdr:row>
      <xdr:rowOff>190500</xdr:rowOff>
    </xdr:from>
    <xdr:ext cx="2228850" cy="2200275"/>
    <xdr:graphicFrame>
      <xdr:nvGraphicFramePr>
        <xdr:cNvPr id="5" name="Chart 5" title="Distribuição de Gêner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19</xdr:col>
      <xdr:colOff>142875</xdr:colOff>
      <xdr:row>15</xdr:row>
      <xdr:rowOff>0</xdr:rowOff>
    </xdr:from>
    <xdr:ext cx="3790950" cy="2200275"/>
    <xdr:graphicFrame>
      <xdr:nvGraphicFramePr>
        <xdr:cNvPr id="6" name="Chart 6" title="Cidades mais Cadastrada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4</xdr:row>
      <xdr:rowOff>0</xdr:rowOff>
    </xdr:from>
    <xdr:ext cx="5753100" cy="359092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581025</xdr:colOff>
      <xdr:row>23</xdr:row>
      <xdr:rowOff>161925</xdr:rowOff>
    </xdr:from>
    <xdr:ext cx="9525000" cy="3200400"/>
    <xdr:graphicFrame>
      <xdr:nvGraphicFramePr>
        <xdr:cNvPr id="8" name="Chart 8" title="Adesão Mensal (Autônomos vs Estúdios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0</xdr:colOff>
      <xdr:row>41</xdr:row>
      <xdr:rowOff>0</xdr:rowOff>
    </xdr:from>
    <xdr:ext cx="4762500" cy="2857500"/>
    <xdr:graphicFrame>
      <xdr:nvGraphicFramePr>
        <xdr:cNvPr id="9" name="Chart 9" title="Especialidade Princip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266700</xdr:colOff>
      <xdr:row>40</xdr:row>
      <xdr:rowOff>200025</xdr:rowOff>
    </xdr:from>
    <xdr:ext cx="4762500" cy="2857500"/>
    <xdr:graphicFrame>
      <xdr:nvGraphicFramePr>
        <xdr:cNvPr id="10" name="Chart 10" title="Tipo de Perfi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0</xdr:colOff>
      <xdr:row>57</xdr:row>
      <xdr:rowOff>0</xdr:rowOff>
    </xdr:from>
    <xdr:ext cx="4762500" cy="2857500"/>
    <xdr:graphicFrame>
      <xdr:nvGraphicFramePr>
        <xdr:cNvPr id="11" name="Chart 11" title="Status Assinatur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15</xdr:col>
      <xdr:colOff>266700</xdr:colOff>
      <xdr:row>57</xdr:row>
      <xdr:rowOff>0</xdr:rowOff>
    </xdr:from>
    <xdr:ext cx="4762500" cy="2857500"/>
    <xdr:graphicFrame>
      <xdr:nvGraphicFramePr>
        <xdr:cNvPr id="12" name="Chart 12" title="Anos de Experiênci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0.0"/>
    <col customWidth="1" min="3" max="3" width="18.0"/>
    <col customWidth="1" min="4" max="5" width="8.71"/>
    <col customWidth="1" min="6" max="6" width="25.0"/>
    <col customWidth="1" min="7" max="7" width="20.0"/>
    <col customWidth="1" min="8" max="26" width="8.71"/>
  </cols>
  <sheetData>
    <row r="2">
      <c r="B2" s="1" t="s">
        <v>0</v>
      </c>
    </row>
    <row r="4">
      <c r="B4" s="2" t="s">
        <v>1</v>
      </c>
      <c r="F4" s="2" t="s">
        <v>2</v>
      </c>
    </row>
    <row r="5">
      <c r="B5" s="3" t="s">
        <v>3</v>
      </c>
      <c r="C5" s="3" t="s">
        <v>4</v>
      </c>
      <c r="D5" s="4"/>
      <c r="E5" s="4"/>
      <c r="F5" s="3" t="s">
        <v>5</v>
      </c>
      <c r="G5" s="3" t="s">
        <v>6</v>
      </c>
    </row>
    <row r="6">
      <c r="B6" s="5" t="s">
        <v>7</v>
      </c>
      <c r="C6" s="5">
        <v>58.0</v>
      </c>
      <c r="D6" s="4"/>
      <c r="E6" s="4"/>
      <c r="F6" s="5" t="s">
        <v>8</v>
      </c>
      <c r="G6" s="6">
        <v>1168.18</v>
      </c>
    </row>
    <row r="7">
      <c r="B7" s="7" t="s">
        <v>9</v>
      </c>
      <c r="C7" s="7">
        <v>47.0</v>
      </c>
      <c r="D7" s="4"/>
      <c r="E7" s="4"/>
      <c r="F7" s="7" t="s">
        <v>10</v>
      </c>
      <c r="G7" s="8">
        <v>1452.0</v>
      </c>
    </row>
    <row r="8">
      <c r="B8" s="5" t="s">
        <v>11</v>
      </c>
      <c r="C8" s="5">
        <v>42.0</v>
      </c>
      <c r="D8" s="4"/>
      <c r="E8" s="4"/>
      <c r="F8" s="5" t="s">
        <v>12</v>
      </c>
      <c r="G8" s="6">
        <v>1325.0</v>
      </c>
    </row>
    <row r="9">
      <c r="B9" s="7" t="s">
        <v>13</v>
      </c>
      <c r="C9" s="7">
        <v>42.0</v>
      </c>
      <c r="D9" s="4"/>
      <c r="E9" s="4"/>
      <c r="F9" s="7" t="s">
        <v>14</v>
      </c>
      <c r="G9" s="8">
        <v>1153.33</v>
      </c>
    </row>
    <row r="10">
      <c r="B10" s="5" t="s">
        <v>15</v>
      </c>
      <c r="C10" s="5">
        <v>42.0</v>
      </c>
      <c r="D10" s="4"/>
      <c r="E10" s="4"/>
      <c r="F10" s="4"/>
      <c r="G10" s="4"/>
    </row>
    <row r="11">
      <c r="B11" s="7" t="s">
        <v>16</v>
      </c>
      <c r="C11" s="7">
        <v>41.0</v>
      </c>
      <c r="D11" s="4"/>
      <c r="E11" s="4"/>
      <c r="F11" s="4"/>
      <c r="G11" s="4"/>
    </row>
    <row r="12">
      <c r="B12" s="5" t="s">
        <v>17</v>
      </c>
      <c r="C12" s="5">
        <v>41.0</v>
      </c>
      <c r="D12" s="4"/>
      <c r="E12" s="4"/>
      <c r="F12" s="4"/>
      <c r="G12" s="4"/>
    </row>
    <row r="13">
      <c r="B13" s="7" t="s">
        <v>18</v>
      </c>
      <c r="C13" s="7">
        <v>37.0</v>
      </c>
      <c r="D13" s="4"/>
      <c r="E13" s="4"/>
      <c r="F13" s="4"/>
      <c r="G13" s="4"/>
    </row>
    <row r="14">
      <c r="B14" s="4"/>
      <c r="C14" s="4"/>
      <c r="D14" s="4"/>
      <c r="E14" s="4"/>
      <c r="F14" s="4"/>
      <c r="G14" s="4"/>
    </row>
    <row r="15">
      <c r="B15" s="4"/>
      <c r="C15" s="4"/>
      <c r="D15" s="4"/>
      <c r="E15" s="4"/>
      <c r="F15" s="4"/>
      <c r="G15" s="4"/>
    </row>
    <row r="16">
      <c r="B16" s="9" t="str">
        <f>IFERROR(__xludf.DUMMYFUNCTION("QUERY('🗄️ Dados Clientes'!A:Q, ""select M, count(M) where M is not null group by M order by count(M) desc label M 'Canal de Origem', count(M) 'Quantidade'"", 1)"),"Canal de Origem")</f>
        <v>Canal de Origem</v>
      </c>
      <c r="C16" s="9" t="str">
        <f>IFERROR(__xludf.DUMMYFUNCTION("""COMPUTED_VALUE"""),"Quantidade")</f>
        <v>Quantidade</v>
      </c>
      <c r="D16" s="4"/>
      <c r="E16" s="4"/>
      <c r="F16" s="9" t="str">
        <f>IFERROR(__xludf.DUMMYFUNCTION("QUERY('🗄️ Dados Clientes'!A:Q, ""select K, count(K) where K is not null group by K order by count(K) desc label K 'Local do Corpo', count(K) 'Quantidade'"", 1)"),"Local do Corpo")</f>
        <v>Local do Corpo</v>
      </c>
      <c r="G16" s="9" t="str">
        <f>IFERROR(__xludf.DUMMYFUNCTION("""COMPUTED_VALUE"""),"Quantidade")</f>
        <v>Quantidade</v>
      </c>
    </row>
    <row r="17">
      <c r="B17" s="10" t="str">
        <f>IFERROR(__xludf.DUMMYFUNCTION("""COMPUTED_VALUE"""),"Google Search")</f>
        <v>Google Search</v>
      </c>
      <c r="C17" s="10">
        <f>IFERROR(__xludf.DUMMYFUNCTION("""COMPUTED_VALUE"""),78.0)</f>
        <v>78</v>
      </c>
      <c r="D17" s="4"/>
      <c r="E17" s="4"/>
      <c r="F17" s="10" t="str">
        <f>IFERROR(__xludf.DUMMYFUNCTION("""COMPUTED_VALUE"""),"Braço (Fechamento)")</f>
        <v>Braço (Fechamento)</v>
      </c>
      <c r="G17" s="10">
        <f>IFERROR(__xludf.DUMMYFUNCTION("""COMPUTED_VALUE"""),47.0)</f>
        <v>47</v>
      </c>
    </row>
    <row r="18">
      <c r="B18" s="10" t="str">
        <f>IFERROR(__xludf.DUMMYFUNCTION("""COMPUTED_VALUE"""),"TikTok")</f>
        <v>TikTok</v>
      </c>
      <c r="C18" s="10">
        <f>IFERROR(__xludf.DUMMYFUNCTION("""COMPUTED_VALUE"""),72.0)</f>
        <v>72</v>
      </c>
      <c r="D18" s="4"/>
      <c r="E18" s="4"/>
      <c r="F18" s="10" t="str">
        <f>IFERROR(__xludf.DUMMYFUNCTION("""COMPUTED_VALUE"""),"Coxa")</f>
        <v>Coxa</v>
      </c>
      <c r="G18" s="10">
        <f>IFERROR(__xludf.DUMMYFUNCTION("""COMPUTED_VALUE"""),44.0)</f>
        <v>44</v>
      </c>
    </row>
    <row r="19">
      <c r="B19" s="10" t="str">
        <f>IFERROR(__xludf.DUMMYFUNCTION("""COMPUTED_VALUE"""),"App Store (Orgânico)")</f>
        <v>App Store (Orgânico)</v>
      </c>
      <c r="C19" s="10">
        <f>IFERROR(__xludf.DUMMYFUNCTION("""COMPUTED_VALUE"""),70.0)</f>
        <v>70</v>
      </c>
      <c r="D19" s="4"/>
      <c r="E19" s="4"/>
      <c r="F19" s="10" t="str">
        <f>IFERROR(__xludf.DUMMYFUNCTION("""COMPUTED_VALUE"""),"Ombro")</f>
        <v>Ombro</v>
      </c>
      <c r="G19" s="10">
        <f>IFERROR(__xludf.DUMMYFUNCTION("""COMPUTED_VALUE"""),43.0)</f>
        <v>43</v>
      </c>
    </row>
    <row r="20">
      <c r="B20" s="10" t="str">
        <f>IFERROR(__xludf.DUMMYFUNCTION("""COMPUTED_VALUE"""),"Instagram Ads")</f>
        <v>Instagram Ads</v>
      </c>
      <c r="C20" s="10">
        <f>IFERROR(__xludf.DUMMYFUNCTION("""COMPUTED_VALUE"""),67.0)</f>
        <v>67</v>
      </c>
      <c r="D20" s="4"/>
      <c r="E20" s="4"/>
      <c r="F20" s="10" t="str">
        <f>IFERROR(__xludf.DUMMYFUNCTION("""COMPUTED_VALUE"""),"Antebraço")</f>
        <v>Antebraço</v>
      </c>
      <c r="G20" s="10">
        <f>IFERROR(__xludf.DUMMYFUNCTION("""COMPUTED_VALUE"""),40.0)</f>
        <v>40</v>
      </c>
    </row>
    <row r="21" ht="15.75" customHeight="1">
      <c r="B21" s="10" t="str">
        <f>IFERROR(__xludf.DUMMYFUNCTION("""COMPUTED_VALUE"""),"Indicação")</f>
        <v>Indicação</v>
      </c>
      <c r="C21" s="10">
        <f>IFERROR(__xludf.DUMMYFUNCTION("""COMPUTED_VALUE"""),63.0)</f>
        <v>63</v>
      </c>
      <c r="D21" s="4"/>
      <c r="E21" s="4"/>
      <c r="F21" s="10" t="str">
        <f>IFERROR(__xludf.DUMMYFUNCTION("""COMPUTED_VALUE"""),"Panturrilha")</f>
        <v>Panturrilha</v>
      </c>
      <c r="G21" s="10">
        <f>IFERROR(__xludf.DUMMYFUNCTION("""COMPUTED_VALUE"""),39.0)</f>
        <v>39</v>
      </c>
    </row>
    <row r="22" ht="15.75" customHeight="1">
      <c r="B22" s="10"/>
      <c r="C22" s="10"/>
      <c r="D22" s="4"/>
      <c r="E22" s="4"/>
      <c r="F22" s="10" t="str">
        <f>IFERROR(__xludf.DUMMYFUNCTION("""COMPUTED_VALUE"""),"Costas")</f>
        <v>Costas</v>
      </c>
      <c r="G22" s="10">
        <f>IFERROR(__xludf.DUMMYFUNCTION("""COMPUTED_VALUE"""),38.0)</f>
        <v>38</v>
      </c>
    </row>
    <row r="23" ht="15.75" customHeight="1">
      <c r="B23" s="10"/>
      <c r="C23" s="10"/>
      <c r="D23" s="4"/>
      <c r="E23" s="4"/>
      <c r="F23" s="10" t="str">
        <f>IFERROR(__xludf.DUMMYFUNCTION("""COMPUTED_VALUE"""),"Costela")</f>
        <v>Costela</v>
      </c>
      <c r="G23" s="10">
        <f>IFERROR(__xludf.DUMMYFUNCTION("""COMPUTED_VALUE"""),36.0)</f>
        <v>36</v>
      </c>
    </row>
    <row r="24" ht="15.75" customHeight="1">
      <c r="B24" s="10"/>
      <c r="C24" s="10"/>
      <c r="D24" s="4"/>
      <c r="E24" s="4"/>
      <c r="F24" s="10" t="str">
        <f>IFERROR(__xludf.DUMMYFUNCTION("""COMPUTED_VALUE"""),"Pulso")</f>
        <v>Pulso</v>
      </c>
      <c r="G24" s="10">
        <f>IFERROR(__xludf.DUMMYFUNCTION("""COMPUTED_VALUE"""),36.0)</f>
        <v>36</v>
      </c>
    </row>
    <row r="25" ht="15.75" customHeight="1">
      <c r="B25" s="10"/>
      <c r="C25" s="10"/>
      <c r="D25" s="4"/>
      <c r="E25" s="4"/>
      <c r="F25" s="10" t="str">
        <f>IFERROR(__xludf.DUMMYFUNCTION("""COMPUTED_VALUE"""),"Pescoço")</f>
        <v>Pescoço</v>
      </c>
      <c r="G25" s="10">
        <f>IFERROR(__xludf.DUMMYFUNCTION("""COMPUTED_VALUE"""),27.0)</f>
        <v>27</v>
      </c>
    </row>
    <row r="26" ht="15.75" customHeight="1">
      <c r="B26" s="4"/>
      <c r="C26" s="4"/>
      <c r="D26" s="4"/>
      <c r="E26" s="4"/>
      <c r="F26" s="4"/>
      <c r="G26" s="4"/>
    </row>
    <row r="27" ht="15.75" customHeight="1">
      <c r="B27" s="4"/>
      <c r="C27" s="4"/>
      <c r="D27" s="4"/>
      <c r="E27" s="4"/>
      <c r="F27" s="4"/>
      <c r="G27" s="4"/>
    </row>
    <row r="28" ht="15.75" customHeight="1">
      <c r="B28" s="9" t="str">
        <f>IFERROR(__xludf.DUMMYFUNCTION("QUERY('🗄️ Dados Clientes'!A:Q, ""select D, count(D) where D is not null group by D order by count(D) desc label D 'Gênero', count(D) 'Quantidade'"", 1)"),"Gênero")</f>
        <v>Gênero</v>
      </c>
      <c r="C28" s="9" t="str">
        <f>IFERROR(__xludf.DUMMYFUNCTION("""COMPUTED_VALUE"""),"Quantidade")</f>
        <v>Quantidade</v>
      </c>
      <c r="D28" s="4"/>
      <c r="E28" s="4"/>
      <c r="F28" s="9" t="str">
        <f>IFERROR(__xludf.DUMMYFUNCTION("QUERY('🗄️ Dados Clientes'!A:Q, ""select E, count(E) where E is not null group by E order by count(E) desc label E 'Cidade', count(E) 'Quantidade'"", 1)"),"Cidade")</f>
        <v>Cidade</v>
      </c>
      <c r="G28" s="9" t="str">
        <f>IFERROR(__xludf.DUMMYFUNCTION("""COMPUTED_VALUE"""),"Quantidade")</f>
        <v>Quantidade</v>
      </c>
    </row>
    <row r="29" ht="15.75" customHeight="1">
      <c r="B29" s="10" t="str">
        <f>IFERROR(__xludf.DUMMYFUNCTION("""COMPUTED_VALUE"""),"M")</f>
        <v>M</v>
      </c>
      <c r="C29" s="10">
        <f>IFERROR(__xludf.DUMMYFUNCTION("""COMPUTED_VALUE"""),179.0)</f>
        <v>179</v>
      </c>
      <c r="D29" s="4"/>
      <c r="E29" s="4"/>
      <c r="F29" s="10" t="str">
        <f>IFERROR(__xludf.DUMMYFUNCTION("""COMPUTED_VALUE"""),"Campinas")</f>
        <v>Campinas</v>
      </c>
      <c r="G29" s="10">
        <f>IFERROR(__xludf.DUMMYFUNCTION("""COMPUTED_VALUE"""),267.0)</f>
        <v>267</v>
      </c>
    </row>
    <row r="30" ht="15.75" customHeight="1">
      <c r="B30" s="10" t="str">
        <f>IFERROR(__xludf.DUMMYFUNCTION("""COMPUTED_VALUE"""),"F")</f>
        <v>F</v>
      </c>
      <c r="C30" s="10">
        <f>IFERROR(__xludf.DUMMYFUNCTION("""COMPUTED_VALUE"""),171.0)</f>
        <v>171</v>
      </c>
      <c r="D30" s="4"/>
      <c r="E30" s="4"/>
      <c r="F30" s="10" t="str">
        <f>IFERROR(__xludf.DUMMYFUNCTION("""COMPUTED_VALUE"""),"Sumaré")</f>
        <v>Sumaré</v>
      </c>
      <c r="G30" s="10">
        <f>IFERROR(__xludf.DUMMYFUNCTION("""COMPUTED_VALUE"""),29.0)</f>
        <v>29</v>
      </c>
    </row>
    <row r="31" ht="15.75" customHeight="1">
      <c r="B31" s="4"/>
      <c r="C31" s="4"/>
      <c r="D31" s="4"/>
      <c r="E31" s="4"/>
      <c r="F31" s="10" t="str">
        <f>IFERROR(__xludf.DUMMYFUNCTION("""COMPUTED_VALUE"""),"Hortolândia")</f>
        <v>Hortolândia</v>
      </c>
      <c r="G31" s="10">
        <f>IFERROR(__xludf.DUMMYFUNCTION("""COMPUTED_VALUE"""),22.0)</f>
        <v>22</v>
      </c>
    </row>
    <row r="32" ht="15.75" customHeight="1">
      <c r="B32" s="4"/>
      <c r="C32" s="4"/>
      <c r="D32" s="4"/>
      <c r="E32" s="4"/>
      <c r="F32" s="10" t="str">
        <f>IFERROR(__xludf.DUMMYFUNCTION("""COMPUTED_VALUE"""),"Valinhos")</f>
        <v>Valinhos</v>
      </c>
      <c r="G32" s="10">
        <f>IFERROR(__xludf.DUMMYFUNCTION("""COMPUTED_VALUE"""),18.0)</f>
        <v>18</v>
      </c>
    </row>
    <row r="33" ht="15.75" customHeight="1">
      <c r="B33" s="4"/>
      <c r="C33" s="4"/>
      <c r="D33" s="4"/>
      <c r="E33" s="4"/>
      <c r="F33" s="10" t="str">
        <f>IFERROR(__xludf.DUMMYFUNCTION("""COMPUTED_VALUE"""),"Indaiatuba")</f>
        <v>Indaiatuba</v>
      </c>
      <c r="G33" s="10">
        <f>IFERROR(__xludf.DUMMYFUNCTION("""COMPUTED_VALUE"""),14.0)</f>
        <v>14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C4"/>
    <mergeCell ref="F4:G4"/>
    <mergeCell ref="B2:G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3" width="15.0"/>
    <col customWidth="1" min="4" max="6" width="20.0"/>
    <col customWidth="1" min="7" max="26" width="8.71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1" t="s">
        <v>19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2" t="s">
        <v>20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5" t="s">
        <v>26</v>
      </c>
      <c r="C6" s="5">
        <v>1.0</v>
      </c>
      <c r="D6" s="5">
        <v>1.0</v>
      </c>
      <c r="E6" s="5">
        <v>0.0</v>
      </c>
      <c r="F6" s="6">
        <v>29.9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7" t="s">
        <v>27</v>
      </c>
      <c r="C7" s="7">
        <v>4.0</v>
      </c>
      <c r="D7" s="7">
        <v>2.0</v>
      </c>
      <c r="E7" s="7">
        <v>2.0</v>
      </c>
      <c r="F7" s="8">
        <v>119.6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5" t="s">
        <v>28</v>
      </c>
      <c r="C8" s="5">
        <v>8.0</v>
      </c>
      <c r="D8" s="5">
        <v>3.0</v>
      </c>
      <c r="E8" s="5">
        <v>5.0</v>
      </c>
      <c r="F8" s="6">
        <v>239.2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7" t="s">
        <v>29</v>
      </c>
      <c r="C9" s="7">
        <v>18.0</v>
      </c>
      <c r="D9" s="7">
        <v>8.0</v>
      </c>
      <c r="E9" s="7">
        <v>10.0</v>
      </c>
      <c r="F9" s="8">
        <v>538.1999999999999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5" t="s">
        <v>30</v>
      </c>
      <c r="C10" s="5">
        <v>30.0</v>
      </c>
      <c r="D10" s="5">
        <v>13.0</v>
      </c>
      <c r="E10" s="5">
        <v>17.0</v>
      </c>
      <c r="F10" s="6">
        <v>897.0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7" t="s">
        <v>31</v>
      </c>
      <c r="C11" s="7">
        <v>37.0</v>
      </c>
      <c r="D11" s="7">
        <v>17.0</v>
      </c>
      <c r="E11" s="7">
        <v>20.0</v>
      </c>
      <c r="F11" s="8">
        <v>1106.3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5" t="s">
        <v>32</v>
      </c>
      <c r="C12" s="5">
        <v>57.0</v>
      </c>
      <c r="D12" s="5">
        <v>30.0</v>
      </c>
      <c r="E12" s="5">
        <v>27.0</v>
      </c>
      <c r="F12" s="6">
        <v>1704.3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7" t="s">
        <v>33</v>
      </c>
      <c r="C13" s="7">
        <v>85.0</v>
      </c>
      <c r="D13" s="7">
        <v>45.0</v>
      </c>
      <c r="E13" s="7">
        <v>40.0</v>
      </c>
      <c r="F13" s="8">
        <v>2541.5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5" t="s">
        <v>34</v>
      </c>
      <c r="C14" s="5">
        <v>106.0</v>
      </c>
      <c r="D14" s="5">
        <v>59.0</v>
      </c>
      <c r="E14" s="5">
        <v>47.0</v>
      </c>
      <c r="F14" s="6">
        <v>3169.4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7" t="s">
        <v>35</v>
      </c>
      <c r="C15" s="7">
        <v>121.0</v>
      </c>
      <c r="D15" s="7">
        <v>69.0</v>
      </c>
      <c r="E15" s="7">
        <v>52.0</v>
      </c>
      <c r="F15" s="8">
        <v>3617.9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5" t="s">
        <v>36</v>
      </c>
      <c r="C16" s="5">
        <v>140.0</v>
      </c>
      <c r="D16" s="5">
        <v>78.0</v>
      </c>
      <c r="E16" s="5">
        <v>62.0</v>
      </c>
      <c r="F16" s="6">
        <v>4186.0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7" t="s">
        <v>37</v>
      </c>
      <c r="C17" s="7">
        <v>144.0</v>
      </c>
      <c r="D17" s="7">
        <v>82.0</v>
      </c>
      <c r="E17" s="7">
        <v>62.0</v>
      </c>
      <c r="F17" s="8">
        <v>4305.599999999999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5" t="s">
        <v>38</v>
      </c>
      <c r="C18" s="5">
        <v>143.0</v>
      </c>
      <c r="D18" s="5">
        <v>82.0</v>
      </c>
      <c r="E18" s="5">
        <v>61.0</v>
      </c>
      <c r="F18" s="6">
        <v>4275.7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11" t="str">
        <f>IFERROR(__xludf.DUMMYFUNCTION("QUERY('🗄️ Dados Tatuadores &amp; Estúdios'!A1:O1000, ""SELECT D, COUNT(A) WHERE A IS NOT NULL GROUP BY D ORDER BY COUNT(A) DESC LABEL D 'Especialidade', COUNT(A) 'Quantidade'"", 1)"),"Especialidade")</f>
        <v>Especialidade</v>
      </c>
      <c r="C22" s="11" t="str">
        <f>IFERROR(__xludf.DUMMYFUNCTION("""COMPUTED_VALUE"""),"Quantidade")</f>
        <v>Quantidade</v>
      </c>
      <c r="D22" s="4"/>
      <c r="E22" s="11" t="str">
        <f>IFERROR(__xludf.DUMMYFUNCTION("QUERY('🗄️ Dados Tatuadores &amp; Estúdios'!A1:O1000, ""SELECT B, COUNT(A) WHERE A IS NOT NULL GROUP BY B ORDER BY COUNT(A) DESC LABEL B 'Tipo de Perfil', COUNT(A) 'Quantidade'"", 1)"),"Tipo de Perfil")</f>
        <v>Tipo de Perfil</v>
      </c>
      <c r="F22" s="11" t="str">
        <f>IFERROR(__xludf.DUMMYFUNCTION("""COMPUTED_VALUE"""),"Quantidade")</f>
        <v>Quantidade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 t="str">
        <f>IFERROR(__xludf.DUMMYFUNCTION("""COMPUTED_VALUE"""),"Blackwork")</f>
        <v>Blackwork</v>
      </c>
      <c r="C23" s="4">
        <f>IFERROR(__xludf.DUMMYFUNCTION("""COMPUTED_VALUE"""),23.0)</f>
        <v>23</v>
      </c>
      <c r="D23" s="4"/>
      <c r="E23" s="4" t="str">
        <f>IFERROR(__xludf.DUMMYFUNCTION("""COMPUTED_VALUE"""),"Tatuador Autônomo")</f>
        <v>Tatuador Autônomo</v>
      </c>
      <c r="F23" s="4">
        <f>IFERROR(__xludf.DUMMYFUNCTION("""COMPUTED_VALUE"""),86.0)</f>
        <v>86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 t="str">
        <f>IFERROR(__xludf.DUMMYFUNCTION("""COMPUTED_VALUE"""),"Fine Line")</f>
        <v>Fine Line</v>
      </c>
      <c r="C24" s="4">
        <f>IFERROR(__xludf.DUMMYFUNCTION("""COMPUTED_VALUE"""),22.0)</f>
        <v>22</v>
      </c>
      <c r="D24" s="4"/>
      <c r="E24" s="4" t="str">
        <f>IFERROR(__xludf.DUMMYFUNCTION("""COMPUTED_VALUE"""),"Estúdio Corporativo")</f>
        <v>Estúdio Corporativo</v>
      </c>
      <c r="F24" s="4">
        <f>IFERROR(__xludf.DUMMYFUNCTION("""COMPUTED_VALUE"""),64.0)</f>
        <v>64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 t="str">
        <f>IFERROR(__xludf.DUMMYFUNCTION("""COMPUTED_VALUE"""),"Oriental")</f>
        <v>Oriental</v>
      </c>
      <c r="C25" s="4">
        <f>IFERROR(__xludf.DUMMYFUNCTION("""COMPUTED_VALUE"""),21.0)</f>
        <v>21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 t="str">
        <f>IFERROR(__xludf.DUMMYFUNCTION("""COMPUTED_VALUE"""),"Neo-Traditional")</f>
        <v>Neo-Traditional</v>
      </c>
      <c r="C26" s="4">
        <f>IFERROR(__xludf.DUMMYFUNCTION("""COMPUTED_VALUE"""),19.0)</f>
        <v>19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 t="str">
        <f>IFERROR(__xludf.DUMMYFUNCTION("""COMPUTED_VALUE"""),"Realismo")</f>
        <v>Realismo</v>
      </c>
      <c r="C27" s="4">
        <f>IFERROR(__xludf.DUMMYFUNCTION("""COMPUTED_VALUE"""),18.0)</f>
        <v>18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 t="str">
        <f>IFERROR(__xludf.DUMMYFUNCTION("""COMPUTED_VALUE"""),"Aquarela")</f>
        <v>Aquarela</v>
      </c>
      <c r="C28" s="4">
        <f>IFERROR(__xludf.DUMMYFUNCTION("""COMPUTED_VALUE"""),16.0)</f>
        <v>16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 t="str">
        <f>IFERROR(__xludf.DUMMYFUNCTION("""COMPUTED_VALUE"""),"Minimalista")</f>
        <v>Minimalista</v>
      </c>
      <c r="C29" s="4">
        <f>IFERROR(__xludf.DUMMYFUNCTION("""COMPUTED_VALUE"""),16.0)</f>
        <v>16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 t="str">
        <f>IFERROR(__xludf.DUMMYFUNCTION("""COMPUTED_VALUE"""),"Old School")</f>
        <v>Old School</v>
      </c>
      <c r="C30" s="4">
        <f>IFERROR(__xludf.DUMMYFUNCTION("""COMPUTED_VALUE"""),15.0)</f>
        <v>15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11" t="str">
        <f>IFERROR(__xludf.DUMMYFUNCTION("QUERY('🗄️ Dados Tatuadores &amp; Estúdios'!A1:O1000, ""SELECT L, COUNT(A) WHERE A IS NOT NULL GROUP BY L ORDER BY COUNT(A) DESC LABEL L 'Status Assinatura', COUNT(A) 'Quantidade'"", 1)"),"Status Assinatura")</f>
        <v>Status Assinatura</v>
      </c>
      <c r="C35" s="11" t="str">
        <f>IFERROR(__xludf.DUMMYFUNCTION("""COMPUTED_VALUE"""),"Quantidade")</f>
        <v>Quantidade</v>
      </c>
      <c r="D35" s="4"/>
      <c r="E35" s="11" t="str">
        <f>IFERROR(__xludf.DUMMYFUNCTION("QUERY('🗄️ Dados Tatuadores &amp; Estúdios'!A1:O1000, ""SELECT E, COUNT(A) WHERE A IS NOT NULL GROUP BY E ORDER BY E ASC LABEL E 'Anos de Experiência', COUNT(A) 'Quantidade'"", 1)"),"Anos de Experiência")</f>
        <v>Anos de Experiência</v>
      </c>
      <c r="F35" s="11" t="str">
        <f>IFERROR(__xludf.DUMMYFUNCTION("""COMPUTED_VALUE"""),"Quantidade")</f>
        <v>Quantidade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 t="str">
        <f>IFERROR(__xludf.DUMMYFUNCTION("""COMPUTED_VALUE"""),"Ativo")</f>
        <v>Ativo</v>
      </c>
      <c r="C36" s="4">
        <f>IFERROR(__xludf.DUMMYFUNCTION("""COMPUTED_VALUE"""),143.0)</f>
        <v>143</v>
      </c>
      <c r="D36" s="4"/>
      <c r="E36" s="4">
        <f>IFERROR(__xludf.DUMMYFUNCTION("""COMPUTED_VALUE"""),1.0)</f>
        <v>1</v>
      </c>
      <c r="F36" s="4">
        <f>IFERROR(__xludf.DUMMYFUNCTION("""COMPUTED_VALUE"""),12.0)</f>
        <v>12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 t="str">
        <f>IFERROR(__xludf.DUMMYFUNCTION("""COMPUTED_VALUE"""),"Cancelado")</f>
        <v>Cancelado</v>
      </c>
      <c r="C37" s="4">
        <f>IFERROR(__xludf.DUMMYFUNCTION("""COMPUTED_VALUE"""),7.0)</f>
        <v>7</v>
      </c>
      <c r="D37" s="4"/>
      <c r="E37" s="4">
        <f>IFERROR(__xludf.DUMMYFUNCTION("""COMPUTED_VALUE"""),2.0)</f>
        <v>2</v>
      </c>
      <c r="F37" s="4">
        <f>IFERROR(__xludf.DUMMYFUNCTION("""COMPUTED_VALUE"""),12.0)</f>
        <v>12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>
        <f>IFERROR(__xludf.DUMMYFUNCTION("""COMPUTED_VALUE"""),3.0)</f>
        <v>3</v>
      </c>
      <c r="F38" s="4">
        <f>IFERROR(__xludf.DUMMYFUNCTION("""COMPUTED_VALUE"""),16.0)</f>
        <v>16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>
        <f>IFERROR(__xludf.DUMMYFUNCTION("""COMPUTED_VALUE"""),4.0)</f>
        <v>4</v>
      </c>
      <c r="F39" s="4">
        <f>IFERROR(__xludf.DUMMYFUNCTION("""COMPUTED_VALUE"""),11.0)</f>
        <v>11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>
        <f>IFERROR(__xludf.DUMMYFUNCTION("""COMPUTED_VALUE"""),5.0)</f>
        <v>5</v>
      </c>
      <c r="F40" s="4">
        <f>IFERROR(__xludf.DUMMYFUNCTION("""COMPUTED_VALUE"""),10.0)</f>
        <v>10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>
        <f>IFERROR(__xludf.DUMMYFUNCTION("""COMPUTED_VALUE"""),6.0)</f>
        <v>6</v>
      </c>
      <c r="F41" s="4">
        <f>IFERROR(__xludf.DUMMYFUNCTION("""COMPUTED_VALUE"""),13.0)</f>
        <v>13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>
        <f>IFERROR(__xludf.DUMMYFUNCTION("""COMPUTED_VALUE"""),7.0)</f>
        <v>7</v>
      </c>
      <c r="F42" s="4">
        <f>IFERROR(__xludf.DUMMYFUNCTION("""COMPUTED_VALUE"""),8.0)</f>
        <v>8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>
        <f>IFERROR(__xludf.DUMMYFUNCTION("""COMPUTED_VALUE"""),8.0)</f>
        <v>8</v>
      </c>
      <c r="F43" s="4">
        <f>IFERROR(__xludf.DUMMYFUNCTION("""COMPUTED_VALUE"""),7.0)</f>
        <v>7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>
        <f>IFERROR(__xludf.DUMMYFUNCTION("""COMPUTED_VALUE"""),9.0)</f>
        <v>9</v>
      </c>
      <c r="F44" s="4">
        <f>IFERROR(__xludf.DUMMYFUNCTION("""COMPUTED_VALUE"""),7.0)</f>
        <v>7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>
        <f>IFERROR(__xludf.DUMMYFUNCTION("""COMPUTED_VALUE"""),10.0)</f>
        <v>10</v>
      </c>
      <c r="F45" s="4">
        <f>IFERROR(__xludf.DUMMYFUNCTION("""COMPUTED_VALUE"""),6.0)</f>
        <v>6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>
        <f>IFERROR(__xludf.DUMMYFUNCTION("""COMPUTED_VALUE"""),11.0)</f>
        <v>11</v>
      </c>
      <c r="F46" s="4">
        <f>IFERROR(__xludf.DUMMYFUNCTION("""COMPUTED_VALUE"""),9.0)</f>
        <v>9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>
        <f>IFERROR(__xludf.DUMMYFUNCTION("""COMPUTED_VALUE"""),12.0)</f>
        <v>12</v>
      </c>
      <c r="F47" s="4">
        <f>IFERROR(__xludf.DUMMYFUNCTION("""COMPUTED_VALUE"""),9.0)</f>
        <v>9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>
        <f>IFERROR(__xludf.DUMMYFUNCTION("""COMPUTED_VALUE"""),13.0)</f>
        <v>13</v>
      </c>
      <c r="F48" s="4">
        <f>IFERROR(__xludf.DUMMYFUNCTION("""COMPUTED_VALUE"""),9.0)</f>
        <v>9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>
        <f>IFERROR(__xludf.DUMMYFUNCTION("""COMPUTED_VALUE"""),14.0)</f>
        <v>14</v>
      </c>
      <c r="F49" s="4">
        <f>IFERROR(__xludf.DUMMYFUNCTION("""COMPUTED_VALUE"""),11.0)</f>
        <v>11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>
        <f>IFERROR(__xludf.DUMMYFUNCTION("""COMPUTED_VALUE"""),15.0)</f>
        <v>15</v>
      </c>
      <c r="F50" s="4">
        <f>IFERROR(__xludf.DUMMYFUNCTION("""COMPUTED_VALUE"""),10.0)</f>
        <v>10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B2:F2"/>
    <mergeCell ref="B4:F4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4" width="8.0"/>
    <col customWidth="1" min="5" max="5" width="15.0"/>
    <col customWidth="1" min="6" max="6" width="20.0"/>
    <col customWidth="1" min="7" max="7" width="12.0"/>
    <col customWidth="1" min="8" max="10" width="18.0"/>
    <col customWidth="1" min="11" max="13" width="20.0"/>
    <col customWidth="1" min="14" max="14" width="22.0"/>
    <col customWidth="1" min="15" max="15" width="18.0"/>
    <col customWidth="1" min="16" max="16" width="12.0"/>
    <col customWidth="1" min="17" max="17" width="18.0"/>
    <col customWidth="1" min="18" max="26" width="8.71"/>
  </cols>
  <sheetData>
    <row r="1">
      <c r="A1" s="3" t="s">
        <v>39</v>
      </c>
      <c r="B1" s="3" t="s">
        <v>40</v>
      </c>
      <c r="C1" s="3" t="s">
        <v>41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  <c r="I1" s="3" t="s">
        <v>47</v>
      </c>
      <c r="J1" s="3" t="s">
        <v>48</v>
      </c>
      <c r="K1" s="3" t="s">
        <v>49</v>
      </c>
      <c r="L1" s="3" t="s">
        <v>5</v>
      </c>
      <c r="M1" s="3" t="s">
        <v>50</v>
      </c>
      <c r="N1" s="3" t="s">
        <v>51</v>
      </c>
      <c r="O1" s="3" t="s">
        <v>52</v>
      </c>
      <c r="P1" s="3" t="s">
        <v>53</v>
      </c>
      <c r="Q1" s="3" t="s">
        <v>54</v>
      </c>
    </row>
    <row r="2">
      <c r="A2" s="5" t="s">
        <v>55</v>
      </c>
      <c r="B2" s="5" t="s">
        <v>56</v>
      </c>
      <c r="C2" s="5">
        <v>30.0</v>
      </c>
      <c r="D2" s="5" t="s">
        <v>57</v>
      </c>
      <c r="E2" s="5" t="s">
        <v>58</v>
      </c>
      <c r="F2" s="5" t="s">
        <v>59</v>
      </c>
      <c r="G2" s="5" t="s">
        <v>60</v>
      </c>
      <c r="H2" s="5">
        <v>27.0</v>
      </c>
      <c r="I2" s="5">
        <v>6.0</v>
      </c>
      <c r="J2" s="5" t="s">
        <v>16</v>
      </c>
      <c r="K2" s="5" t="s">
        <v>61</v>
      </c>
      <c r="L2" s="5" t="s">
        <v>8</v>
      </c>
      <c r="M2" s="5" t="s">
        <v>62</v>
      </c>
      <c r="N2" s="5" t="s">
        <v>63</v>
      </c>
      <c r="O2" s="5" t="s">
        <v>64</v>
      </c>
      <c r="P2" s="12">
        <v>0.0</v>
      </c>
      <c r="Q2" s="5"/>
    </row>
    <row r="3">
      <c r="A3" s="7" t="s">
        <v>65</v>
      </c>
      <c r="B3" s="7" t="s">
        <v>66</v>
      </c>
      <c r="C3" s="7">
        <v>35.0</v>
      </c>
      <c r="D3" s="7" t="s">
        <v>57</v>
      </c>
      <c r="E3" s="7" t="s">
        <v>67</v>
      </c>
      <c r="F3" s="7" t="s">
        <v>68</v>
      </c>
      <c r="G3" s="7" t="s">
        <v>69</v>
      </c>
      <c r="H3" s="7">
        <v>41.0</v>
      </c>
      <c r="I3" s="7">
        <v>1.0</v>
      </c>
      <c r="J3" s="7" t="s">
        <v>11</v>
      </c>
      <c r="K3" s="7" t="s">
        <v>70</v>
      </c>
      <c r="L3" s="7" t="s">
        <v>8</v>
      </c>
      <c r="M3" s="7" t="s">
        <v>71</v>
      </c>
      <c r="N3" s="7" t="s">
        <v>72</v>
      </c>
      <c r="O3" s="7" t="s">
        <v>73</v>
      </c>
      <c r="P3" s="13">
        <v>0.0</v>
      </c>
      <c r="Q3" s="7"/>
    </row>
    <row r="4">
      <c r="A4" s="5" t="s">
        <v>74</v>
      </c>
      <c r="B4" s="5" t="s">
        <v>75</v>
      </c>
      <c r="C4" s="5">
        <v>36.0</v>
      </c>
      <c r="D4" s="5" t="s">
        <v>57</v>
      </c>
      <c r="E4" s="5" t="s">
        <v>58</v>
      </c>
      <c r="F4" s="5" t="s">
        <v>76</v>
      </c>
      <c r="G4" s="5" t="s">
        <v>60</v>
      </c>
      <c r="H4" s="5">
        <v>30.0</v>
      </c>
      <c r="I4" s="5">
        <v>7.0</v>
      </c>
      <c r="J4" s="5" t="s">
        <v>13</v>
      </c>
      <c r="K4" s="5" t="s">
        <v>61</v>
      </c>
      <c r="L4" s="5" t="s">
        <v>10</v>
      </c>
      <c r="M4" s="5" t="s">
        <v>62</v>
      </c>
      <c r="N4" s="5" t="s">
        <v>77</v>
      </c>
      <c r="O4" s="5" t="s">
        <v>78</v>
      </c>
      <c r="P4" s="12">
        <v>0.0</v>
      </c>
      <c r="Q4" s="5"/>
    </row>
    <row r="5">
      <c r="A5" s="7" t="s">
        <v>79</v>
      </c>
      <c r="B5" s="7" t="s">
        <v>80</v>
      </c>
      <c r="C5" s="7">
        <v>28.0</v>
      </c>
      <c r="D5" s="7" t="s">
        <v>57</v>
      </c>
      <c r="E5" s="7" t="s">
        <v>58</v>
      </c>
      <c r="F5" s="7" t="s">
        <v>81</v>
      </c>
      <c r="G5" s="7" t="s">
        <v>69</v>
      </c>
      <c r="H5" s="7">
        <v>20.0</v>
      </c>
      <c r="I5" s="7">
        <v>4.0</v>
      </c>
      <c r="J5" s="7" t="s">
        <v>9</v>
      </c>
      <c r="K5" s="7" t="s">
        <v>82</v>
      </c>
      <c r="L5" s="7" t="s">
        <v>14</v>
      </c>
      <c r="M5" s="7" t="s">
        <v>83</v>
      </c>
      <c r="N5" s="7" t="s">
        <v>84</v>
      </c>
      <c r="O5" s="7" t="s">
        <v>85</v>
      </c>
      <c r="P5" s="13">
        <v>350.0</v>
      </c>
      <c r="Q5" s="7">
        <v>3.0</v>
      </c>
    </row>
    <row r="6">
      <c r="A6" s="5" t="s">
        <v>86</v>
      </c>
      <c r="B6" s="5" t="s">
        <v>87</v>
      </c>
      <c r="C6" s="5">
        <v>22.0</v>
      </c>
      <c r="D6" s="5" t="s">
        <v>57</v>
      </c>
      <c r="E6" s="5" t="s">
        <v>67</v>
      </c>
      <c r="F6" s="5" t="s">
        <v>68</v>
      </c>
      <c r="G6" s="5" t="s">
        <v>60</v>
      </c>
      <c r="H6" s="5">
        <v>27.0</v>
      </c>
      <c r="I6" s="5">
        <v>2.0</v>
      </c>
      <c r="J6" s="5" t="s">
        <v>11</v>
      </c>
      <c r="K6" s="5" t="s">
        <v>88</v>
      </c>
      <c r="L6" s="5" t="s">
        <v>12</v>
      </c>
      <c r="M6" s="5" t="s">
        <v>83</v>
      </c>
      <c r="N6" s="5" t="s">
        <v>77</v>
      </c>
      <c r="O6" s="5" t="s">
        <v>89</v>
      </c>
      <c r="P6" s="12">
        <v>0.0</v>
      </c>
      <c r="Q6" s="5"/>
    </row>
    <row r="7">
      <c r="A7" s="7" t="s">
        <v>90</v>
      </c>
      <c r="B7" s="7" t="s">
        <v>91</v>
      </c>
      <c r="C7" s="7">
        <v>22.0</v>
      </c>
      <c r="D7" s="7" t="s">
        <v>92</v>
      </c>
      <c r="E7" s="7" t="s">
        <v>58</v>
      </c>
      <c r="F7" s="7" t="s">
        <v>93</v>
      </c>
      <c r="G7" s="7" t="s">
        <v>60</v>
      </c>
      <c r="H7" s="7">
        <v>40.0</v>
      </c>
      <c r="I7" s="7">
        <v>2.0</v>
      </c>
      <c r="J7" s="7" t="s">
        <v>7</v>
      </c>
      <c r="K7" s="7" t="s">
        <v>94</v>
      </c>
      <c r="L7" s="7" t="s">
        <v>8</v>
      </c>
      <c r="M7" s="7" t="s">
        <v>71</v>
      </c>
      <c r="N7" s="7" t="s">
        <v>77</v>
      </c>
      <c r="O7" s="7" t="s">
        <v>95</v>
      </c>
      <c r="P7" s="13">
        <v>0.0</v>
      </c>
      <c r="Q7" s="7"/>
    </row>
    <row r="8">
      <c r="A8" s="5" t="s">
        <v>96</v>
      </c>
      <c r="B8" s="5" t="s">
        <v>97</v>
      </c>
      <c r="C8" s="5">
        <v>26.0</v>
      </c>
      <c r="D8" s="5" t="s">
        <v>92</v>
      </c>
      <c r="E8" s="5" t="s">
        <v>58</v>
      </c>
      <c r="F8" s="5" t="s">
        <v>98</v>
      </c>
      <c r="G8" s="5" t="s">
        <v>60</v>
      </c>
      <c r="H8" s="5">
        <v>12.0</v>
      </c>
      <c r="I8" s="5">
        <v>6.0</v>
      </c>
      <c r="J8" s="5" t="s">
        <v>13</v>
      </c>
      <c r="K8" s="5" t="s">
        <v>82</v>
      </c>
      <c r="L8" s="5" t="s">
        <v>10</v>
      </c>
      <c r="M8" s="5" t="s">
        <v>83</v>
      </c>
      <c r="N8" s="5" t="s">
        <v>77</v>
      </c>
      <c r="O8" s="5" t="s">
        <v>99</v>
      </c>
      <c r="P8" s="12">
        <v>0.0</v>
      </c>
      <c r="Q8" s="5"/>
    </row>
    <row r="9">
      <c r="A9" s="7" t="s">
        <v>100</v>
      </c>
      <c r="B9" s="7" t="s">
        <v>101</v>
      </c>
      <c r="C9" s="7">
        <v>34.0</v>
      </c>
      <c r="D9" s="7" t="s">
        <v>92</v>
      </c>
      <c r="E9" s="7" t="s">
        <v>58</v>
      </c>
      <c r="F9" s="7" t="s">
        <v>81</v>
      </c>
      <c r="G9" s="7" t="s">
        <v>69</v>
      </c>
      <c r="H9" s="7">
        <v>44.0</v>
      </c>
      <c r="I9" s="7">
        <v>2.0</v>
      </c>
      <c r="J9" s="7" t="s">
        <v>7</v>
      </c>
      <c r="K9" s="7" t="s">
        <v>102</v>
      </c>
      <c r="L9" s="7" t="s">
        <v>10</v>
      </c>
      <c r="M9" s="7" t="s">
        <v>83</v>
      </c>
      <c r="N9" s="7" t="s">
        <v>77</v>
      </c>
      <c r="O9" s="7" t="s">
        <v>103</v>
      </c>
      <c r="P9" s="13">
        <v>0.0</v>
      </c>
      <c r="Q9" s="7"/>
    </row>
    <row r="10">
      <c r="A10" s="5" t="s">
        <v>104</v>
      </c>
      <c r="B10" s="5" t="s">
        <v>105</v>
      </c>
      <c r="C10" s="5">
        <v>28.0</v>
      </c>
      <c r="D10" s="5" t="s">
        <v>57</v>
      </c>
      <c r="E10" s="5" t="s">
        <v>58</v>
      </c>
      <c r="F10" s="5" t="s">
        <v>81</v>
      </c>
      <c r="G10" s="5" t="s">
        <v>60</v>
      </c>
      <c r="H10" s="5">
        <v>31.0</v>
      </c>
      <c r="I10" s="5">
        <v>7.0</v>
      </c>
      <c r="J10" s="5" t="s">
        <v>17</v>
      </c>
      <c r="K10" s="5" t="s">
        <v>94</v>
      </c>
      <c r="L10" s="5" t="s">
        <v>14</v>
      </c>
      <c r="M10" s="5" t="s">
        <v>106</v>
      </c>
      <c r="N10" s="5" t="s">
        <v>72</v>
      </c>
      <c r="O10" s="5" t="s">
        <v>107</v>
      </c>
      <c r="P10" s="12">
        <v>0.0</v>
      </c>
      <c r="Q10" s="5"/>
    </row>
    <row r="11">
      <c r="A11" s="7" t="s">
        <v>108</v>
      </c>
      <c r="B11" s="7" t="s">
        <v>109</v>
      </c>
      <c r="C11" s="7">
        <v>27.0</v>
      </c>
      <c r="D11" s="7" t="s">
        <v>92</v>
      </c>
      <c r="E11" s="7" t="s">
        <v>58</v>
      </c>
      <c r="F11" s="7" t="s">
        <v>81</v>
      </c>
      <c r="G11" s="7" t="s">
        <v>60</v>
      </c>
      <c r="H11" s="7">
        <v>8.0</v>
      </c>
      <c r="I11" s="7">
        <v>5.0</v>
      </c>
      <c r="J11" s="7" t="s">
        <v>16</v>
      </c>
      <c r="K11" s="7" t="s">
        <v>82</v>
      </c>
      <c r="L11" s="7" t="s">
        <v>10</v>
      </c>
      <c r="M11" s="7" t="s">
        <v>83</v>
      </c>
      <c r="N11" s="7" t="s">
        <v>110</v>
      </c>
      <c r="O11" s="7" t="s">
        <v>111</v>
      </c>
      <c r="P11" s="13">
        <v>0.0</v>
      </c>
      <c r="Q11" s="7"/>
    </row>
    <row r="12">
      <c r="A12" s="5" t="s">
        <v>112</v>
      </c>
      <c r="B12" s="5" t="s">
        <v>113</v>
      </c>
      <c r="C12" s="5">
        <v>44.0</v>
      </c>
      <c r="D12" s="5" t="s">
        <v>92</v>
      </c>
      <c r="E12" s="5" t="s">
        <v>114</v>
      </c>
      <c r="F12" s="5" t="s">
        <v>68</v>
      </c>
      <c r="G12" s="5" t="s">
        <v>69</v>
      </c>
      <c r="H12" s="5">
        <v>17.0</v>
      </c>
      <c r="I12" s="5">
        <v>5.0</v>
      </c>
      <c r="J12" s="5" t="s">
        <v>7</v>
      </c>
      <c r="K12" s="5" t="s">
        <v>94</v>
      </c>
      <c r="L12" s="5" t="s">
        <v>12</v>
      </c>
      <c r="M12" s="5" t="s">
        <v>62</v>
      </c>
      <c r="N12" s="5" t="s">
        <v>110</v>
      </c>
      <c r="O12" s="5" t="s">
        <v>115</v>
      </c>
      <c r="P12" s="12">
        <v>0.0</v>
      </c>
      <c r="Q12" s="5"/>
    </row>
    <row r="13">
      <c r="A13" s="7" t="s">
        <v>116</v>
      </c>
      <c r="B13" s="7" t="s">
        <v>117</v>
      </c>
      <c r="C13" s="7">
        <v>33.0</v>
      </c>
      <c r="D13" s="7" t="s">
        <v>57</v>
      </c>
      <c r="E13" s="7" t="s">
        <v>58</v>
      </c>
      <c r="F13" s="7" t="s">
        <v>59</v>
      </c>
      <c r="G13" s="7" t="s">
        <v>69</v>
      </c>
      <c r="H13" s="7">
        <v>23.0</v>
      </c>
      <c r="I13" s="7">
        <v>1.0</v>
      </c>
      <c r="J13" s="7" t="s">
        <v>11</v>
      </c>
      <c r="K13" s="7" t="s">
        <v>94</v>
      </c>
      <c r="L13" s="7" t="s">
        <v>8</v>
      </c>
      <c r="M13" s="7" t="s">
        <v>106</v>
      </c>
      <c r="N13" s="7" t="s">
        <v>84</v>
      </c>
      <c r="O13" s="7" t="s">
        <v>118</v>
      </c>
      <c r="P13" s="13">
        <v>250.0</v>
      </c>
      <c r="Q13" s="7">
        <v>5.0</v>
      </c>
    </row>
    <row r="14">
      <c r="A14" s="5" t="s">
        <v>119</v>
      </c>
      <c r="B14" s="5" t="s">
        <v>120</v>
      </c>
      <c r="C14" s="5">
        <v>27.0</v>
      </c>
      <c r="D14" s="5" t="s">
        <v>92</v>
      </c>
      <c r="E14" s="5" t="s">
        <v>58</v>
      </c>
      <c r="F14" s="5" t="s">
        <v>121</v>
      </c>
      <c r="G14" s="5" t="s">
        <v>69</v>
      </c>
      <c r="H14" s="5">
        <v>38.0</v>
      </c>
      <c r="I14" s="5">
        <v>4.0</v>
      </c>
      <c r="J14" s="5" t="s">
        <v>11</v>
      </c>
      <c r="K14" s="5" t="s">
        <v>61</v>
      </c>
      <c r="L14" s="5" t="s">
        <v>8</v>
      </c>
      <c r="M14" s="5" t="s">
        <v>83</v>
      </c>
      <c r="N14" s="5" t="s">
        <v>77</v>
      </c>
      <c r="O14" s="5" t="s">
        <v>122</v>
      </c>
      <c r="P14" s="12">
        <v>0.0</v>
      </c>
      <c r="Q14" s="5"/>
    </row>
    <row r="15">
      <c r="A15" s="7" t="s">
        <v>123</v>
      </c>
      <c r="B15" s="7" t="s">
        <v>124</v>
      </c>
      <c r="C15" s="7">
        <v>40.0</v>
      </c>
      <c r="D15" s="7" t="s">
        <v>57</v>
      </c>
      <c r="E15" s="7" t="s">
        <v>58</v>
      </c>
      <c r="F15" s="7" t="s">
        <v>98</v>
      </c>
      <c r="G15" s="7" t="s">
        <v>69</v>
      </c>
      <c r="H15" s="7">
        <v>45.0</v>
      </c>
      <c r="I15" s="7">
        <v>2.0</v>
      </c>
      <c r="J15" s="7" t="s">
        <v>7</v>
      </c>
      <c r="K15" s="7" t="s">
        <v>88</v>
      </c>
      <c r="L15" s="7" t="s">
        <v>12</v>
      </c>
      <c r="M15" s="7" t="s">
        <v>106</v>
      </c>
      <c r="N15" s="7" t="s">
        <v>110</v>
      </c>
      <c r="O15" s="7" t="s">
        <v>125</v>
      </c>
      <c r="P15" s="13">
        <v>0.0</v>
      </c>
      <c r="Q15" s="7"/>
    </row>
    <row r="16">
      <c r="A16" s="5" t="s">
        <v>126</v>
      </c>
      <c r="B16" s="5" t="s">
        <v>127</v>
      </c>
      <c r="C16" s="5">
        <v>26.0</v>
      </c>
      <c r="D16" s="5" t="s">
        <v>92</v>
      </c>
      <c r="E16" s="5" t="s">
        <v>67</v>
      </c>
      <c r="F16" s="5" t="s">
        <v>68</v>
      </c>
      <c r="G16" s="5" t="s">
        <v>60</v>
      </c>
      <c r="H16" s="5">
        <v>36.0</v>
      </c>
      <c r="I16" s="5">
        <v>3.0</v>
      </c>
      <c r="J16" s="5" t="s">
        <v>11</v>
      </c>
      <c r="K16" s="5" t="s">
        <v>128</v>
      </c>
      <c r="L16" s="5" t="s">
        <v>14</v>
      </c>
      <c r="M16" s="5" t="s">
        <v>62</v>
      </c>
      <c r="N16" s="5" t="s">
        <v>84</v>
      </c>
      <c r="O16" s="5" t="s">
        <v>129</v>
      </c>
      <c r="P16" s="12">
        <v>800.0</v>
      </c>
      <c r="Q16" s="5">
        <v>5.0</v>
      </c>
    </row>
    <row r="17">
      <c r="A17" s="7" t="s">
        <v>130</v>
      </c>
      <c r="B17" s="7" t="s">
        <v>131</v>
      </c>
      <c r="C17" s="7">
        <v>22.0</v>
      </c>
      <c r="D17" s="7" t="s">
        <v>57</v>
      </c>
      <c r="E17" s="7" t="s">
        <v>67</v>
      </c>
      <c r="F17" s="7" t="s">
        <v>68</v>
      </c>
      <c r="G17" s="7" t="s">
        <v>60</v>
      </c>
      <c r="H17" s="7">
        <v>30.0</v>
      </c>
      <c r="I17" s="7">
        <v>5.0</v>
      </c>
      <c r="J17" s="7" t="s">
        <v>18</v>
      </c>
      <c r="K17" s="7" t="s">
        <v>132</v>
      </c>
      <c r="L17" s="7" t="s">
        <v>14</v>
      </c>
      <c r="M17" s="7" t="s">
        <v>71</v>
      </c>
      <c r="N17" s="7" t="s">
        <v>133</v>
      </c>
      <c r="O17" s="7" t="s">
        <v>134</v>
      </c>
      <c r="P17" s="13">
        <v>0.0</v>
      </c>
      <c r="Q17" s="7"/>
    </row>
    <row r="18">
      <c r="A18" s="5" t="s">
        <v>135</v>
      </c>
      <c r="B18" s="5" t="s">
        <v>136</v>
      </c>
      <c r="C18" s="5">
        <v>24.0</v>
      </c>
      <c r="D18" s="5" t="s">
        <v>92</v>
      </c>
      <c r="E18" s="5" t="s">
        <v>137</v>
      </c>
      <c r="F18" s="5" t="s">
        <v>68</v>
      </c>
      <c r="G18" s="5" t="s">
        <v>60</v>
      </c>
      <c r="H18" s="5">
        <v>45.0</v>
      </c>
      <c r="I18" s="5">
        <v>3.0</v>
      </c>
      <c r="J18" s="5" t="s">
        <v>7</v>
      </c>
      <c r="K18" s="5" t="s">
        <v>132</v>
      </c>
      <c r="L18" s="5" t="s">
        <v>8</v>
      </c>
      <c r="M18" s="5" t="s">
        <v>71</v>
      </c>
      <c r="N18" s="5" t="s">
        <v>110</v>
      </c>
      <c r="O18" s="5" t="s">
        <v>138</v>
      </c>
      <c r="P18" s="12">
        <v>0.0</v>
      </c>
      <c r="Q18" s="5"/>
    </row>
    <row r="19">
      <c r="A19" s="7" t="s">
        <v>139</v>
      </c>
      <c r="B19" s="7" t="s">
        <v>140</v>
      </c>
      <c r="C19" s="7">
        <v>29.0</v>
      </c>
      <c r="D19" s="7" t="s">
        <v>92</v>
      </c>
      <c r="E19" s="7" t="s">
        <v>58</v>
      </c>
      <c r="F19" s="7" t="s">
        <v>141</v>
      </c>
      <c r="G19" s="7" t="s">
        <v>69</v>
      </c>
      <c r="H19" s="7">
        <v>22.0</v>
      </c>
      <c r="I19" s="7">
        <v>8.0</v>
      </c>
      <c r="J19" s="7" t="s">
        <v>13</v>
      </c>
      <c r="K19" s="7" t="s">
        <v>70</v>
      </c>
      <c r="L19" s="7" t="s">
        <v>8</v>
      </c>
      <c r="M19" s="7" t="s">
        <v>83</v>
      </c>
      <c r="N19" s="7" t="s">
        <v>72</v>
      </c>
      <c r="O19" s="7" t="s">
        <v>142</v>
      </c>
      <c r="P19" s="13">
        <v>0.0</v>
      </c>
      <c r="Q19" s="7"/>
    </row>
    <row r="20">
      <c r="A20" s="5" t="s">
        <v>143</v>
      </c>
      <c r="B20" s="5" t="s">
        <v>144</v>
      </c>
      <c r="C20" s="5">
        <v>19.0</v>
      </c>
      <c r="D20" s="5" t="s">
        <v>57</v>
      </c>
      <c r="E20" s="5" t="s">
        <v>58</v>
      </c>
      <c r="F20" s="5" t="s">
        <v>76</v>
      </c>
      <c r="G20" s="5" t="s">
        <v>60</v>
      </c>
      <c r="H20" s="5">
        <v>5.0</v>
      </c>
      <c r="I20" s="5">
        <v>4.0</v>
      </c>
      <c r="J20" s="5" t="s">
        <v>11</v>
      </c>
      <c r="K20" s="5" t="s">
        <v>132</v>
      </c>
      <c r="L20" s="5" t="s">
        <v>14</v>
      </c>
      <c r="M20" s="5" t="s">
        <v>145</v>
      </c>
      <c r="N20" s="5" t="s">
        <v>84</v>
      </c>
      <c r="O20" s="5" t="s">
        <v>146</v>
      </c>
      <c r="P20" s="12">
        <v>1200.0</v>
      </c>
      <c r="Q20" s="5">
        <v>5.0</v>
      </c>
    </row>
    <row r="21" ht="15.75" customHeight="1">
      <c r="A21" s="7" t="s">
        <v>147</v>
      </c>
      <c r="B21" s="7" t="s">
        <v>148</v>
      </c>
      <c r="C21" s="7">
        <v>22.0</v>
      </c>
      <c r="D21" s="7" t="s">
        <v>57</v>
      </c>
      <c r="E21" s="7" t="s">
        <v>137</v>
      </c>
      <c r="F21" s="7" t="s">
        <v>68</v>
      </c>
      <c r="G21" s="7" t="s">
        <v>69</v>
      </c>
      <c r="H21" s="7">
        <v>25.0</v>
      </c>
      <c r="I21" s="7">
        <v>2.0</v>
      </c>
      <c r="J21" s="7" t="s">
        <v>13</v>
      </c>
      <c r="K21" s="7" t="s">
        <v>70</v>
      </c>
      <c r="L21" s="7" t="s">
        <v>8</v>
      </c>
      <c r="M21" s="7" t="s">
        <v>106</v>
      </c>
      <c r="N21" s="7" t="s">
        <v>84</v>
      </c>
      <c r="O21" s="7" t="s">
        <v>149</v>
      </c>
      <c r="P21" s="13">
        <v>2000.0</v>
      </c>
      <c r="Q21" s="7">
        <v>3.0</v>
      </c>
    </row>
    <row r="22" ht="15.75" customHeight="1">
      <c r="A22" s="5" t="s">
        <v>150</v>
      </c>
      <c r="B22" s="5" t="s">
        <v>151</v>
      </c>
      <c r="C22" s="5">
        <v>34.0</v>
      </c>
      <c r="D22" s="5" t="s">
        <v>92</v>
      </c>
      <c r="E22" s="5" t="s">
        <v>58</v>
      </c>
      <c r="F22" s="5" t="s">
        <v>76</v>
      </c>
      <c r="G22" s="5" t="s">
        <v>60</v>
      </c>
      <c r="H22" s="5">
        <v>17.0</v>
      </c>
      <c r="I22" s="5">
        <v>4.0</v>
      </c>
      <c r="J22" s="5" t="s">
        <v>9</v>
      </c>
      <c r="K22" s="5" t="s">
        <v>82</v>
      </c>
      <c r="L22" s="5" t="s">
        <v>10</v>
      </c>
      <c r="M22" s="5" t="s">
        <v>145</v>
      </c>
      <c r="N22" s="5" t="s">
        <v>152</v>
      </c>
      <c r="O22" s="5" t="s">
        <v>153</v>
      </c>
      <c r="P22" s="12">
        <v>0.0</v>
      </c>
      <c r="Q22" s="5"/>
    </row>
    <row r="23" ht="15.75" customHeight="1">
      <c r="A23" s="7" t="s">
        <v>154</v>
      </c>
      <c r="B23" s="7" t="s">
        <v>155</v>
      </c>
      <c r="C23" s="7">
        <v>30.0</v>
      </c>
      <c r="D23" s="7" t="s">
        <v>92</v>
      </c>
      <c r="E23" s="7" t="s">
        <v>58</v>
      </c>
      <c r="F23" s="7" t="s">
        <v>76</v>
      </c>
      <c r="G23" s="7" t="s">
        <v>60</v>
      </c>
      <c r="H23" s="7">
        <v>26.0</v>
      </c>
      <c r="I23" s="7">
        <v>3.0</v>
      </c>
      <c r="J23" s="7" t="s">
        <v>7</v>
      </c>
      <c r="K23" s="7" t="s">
        <v>88</v>
      </c>
      <c r="L23" s="7" t="s">
        <v>8</v>
      </c>
      <c r="M23" s="7" t="s">
        <v>62</v>
      </c>
      <c r="N23" s="7" t="s">
        <v>84</v>
      </c>
      <c r="O23" s="7" t="s">
        <v>156</v>
      </c>
      <c r="P23" s="13">
        <v>1200.0</v>
      </c>
      <c r="Q23" s="7">
        <v>3.0</v>
      </c>
    </row>
    <row r="24" ht="15.75" customHeight="1">
      <c r="A24" s="5" t="s">
        <v>157</v>
      </c>
      <c r="B24" s="5" t="s">
        <v>158</v>
      </c>
      <c r="C24" s="5">
        <v>31.0</v>
      </c>
      <c r="D24" s="5" t="s">
        <v>57</v>
      </c>
      <c r="E24" s="5" t="s">
        <v>58</v>
      </c>
      <c r="F24" s="5" t="s">
        <v>121</v>
      </c>
      <c r="G24" s="5" t="s">
        <v>60</v>
      </c>
      <c r="H24" s="5">
        <v>4.0</v>
      </c>
      <c r="I24" s="5">
        <v>5.0</v>
      </c>
      <c r="J24" s="5" t="s">
        <v>15</v>
      </c>
      <c r="K24" s="5" t="s">
        <v>102</v>
      </c>
      <c r="L24" s="5" t="s">
        <v>14</v>
      </c>
      <c r="M24" s="5" t="s">
        <v>106</v>
      </c>
      <c r="N24" s="5" t="s">
        <v>152</v>
      </c>
      <c r="O24" s="5" t="s">
        <v>159</v>
      </c>
      <c r="P24" s="12">
        <v>0.0</v>
      </c>
      <c r="Q24" s="5"/>
    </row>
    <row r="25" ht="15.75" customHeight="1">
      <c r="A25" s="7" t="s">
        <v>160</v>
      </c>
      <c r="B25" s="7" t="s">
        <v>161</v>
      </c>
      <c r="C25" s="7">
        <v>48.0</v>
      </c>
      <c r="D25" s="7" t="s">
        <v>92</v>
      </c>
      <c r="E25" s="7" t="s">
        <v>58</v>
      </c>
      <c r="F25" s="7" t="s">
        <v>162</v>
      </c>
      <c r="G25" s="7" t="s">
        <v>60</v>
      </c>
      <c r="H25" s="7">
        <v>35.0</v>
      </c>
      <c r="I25" s="7">
        <v>7.0</v>
      </c>
      <c r="J25" s="7" t="s">
        <v>18</v>
      </c>
      <c r="K25" s="7" t="s">
        <v>132</v>
      </c>
      <c r="L25" s="7" t="s">
        <v>8</v>
      </c>
      <c r="M25" s="7" t="s">
        <v>83</v>
      </c>
      <c r="N25" s="7" t="s">
        <v>72</v>
      </c>
      <c r="O25" s="7" t="s">
        <v>163</v>
      </c>
      <c r="P25" s="13">
        <v>0.0</v>
      </c>
      <c r="Q25" s="7"/>
    </row>
    <row r="26" ht="15.75" customHeight="1">
      <c r="A26" s="5" t="s">
        <v>164</v>
      </c>
      <c r="B26" s="5" t="s">
        <v>165</v>
      </c>
      <c r="C26" s="5">
        <v>33.0</v>
      </c>
      <c r="D26" s="5" t="s">
        <v>92</v>
      </c>
      <c r="E26" s="5" t="s">
        <v>58</v>
      </c>
      <c r="F26" s="5" t="s">
        <v>162</v>
      </c>
      <c r="G26" s="5" t="s">
        <v>69</v>
      </c>
      <c r="H26" s="5">
        <v>31.0</v>
      </c>
      <c r="I26" s="5">
        <v>3.0</v>
      </c>
      <c r="J26" s="5" t="s">
        <v>13</v>
      </c>
      <c r="K26" s="5" t="s">
        <v>166</v>
      </c>
      <c r="L26" s="5" t="s">
        <v>14</v>
      </c>
      <c r="M26" s="5" t="s">
        <v>83</v>
      </c>
      <c r="N26" s="5" t="s">
        <v>110</v>
      </c>
      <c r="O26" s="5" t="s">
        <v>167</v>
      </c>
      <c r="P26" s="12">
        <v>0.0</v>
      </c>
      <c r="Q26" s="5"/>
    </row>
    <row r="27" ht="15.75" customHeight="1">
      <c r="A27" s="7" t="s">
        <v>168</v>
      </c>
      <c r="B27" s="7" t="s">
        <v>169</v>
      </c>
      <c r="C27" s="7">
        <v>25.0</v>
      </c>
      <c r="D27" s="7" t="s">
        <v>92</v>
      </c>
      <c r="E27" s="7" t="s">
        <v>67</v>
      </c>
      <c r="F27" s="7" t="s">
        <v>68</v>
      </c>
      <c r="G27" s="7" t="s">
        <v>60</v>
      </c>
      <c r="H27" s="7">
        <v>36.0</v>
      </c>
      <c r="I27" s="7">
        <v>6.0</v>
      </c>
      <c r="J27" s="7" t="s">
        <v>13</v>
      </c>
      <c r="K27" s="7" t="s">
        <v>61</v>
      </c>
      <c r="L27" s="7" t="s">
        <v>8</v>
      </c>
      <c r="M27" s="7" t="s">
        <v>71</v>
      </c>
      <c r="N27" s="7" t="s">
        <v>84</v>
      </c>
      <c r="O27" s="7" t="s">
        <v>170</v>
      </c>
      <c r="P27" s="13">
        <v>2000.0</v>
      </c>
      <c r="Q27" s="7">
        <v>4.0</v>
      </c>
    </row>
    <row r="28" ht="15.75" customHeight="1">
      <c r="A28" s="5" t="s">
        <v>171</v>
      </c>
      <c r="B28" s="5" t="s">
        <v>172</v>
      </c>
      <c r="C28" s="5">
        <v>54.0</v>
      </c>
      <c r="D28" s="5" t="s">
        <v>57</v>
      </c>
      <c r="E28" s="5" t="s">
        <v>58</v>
      </c>
      <c r="F28" s="5" t="s">
        <v>162</v>
      </c>
      <c r="G28" s="5" t="s">
        <v>60</v>
      </c>
      <c r="H28" s="5">
        <v>23.0</v>
      </c>
      <c r="I28" s="5">
        <v>2.0</v>
      </c>
      <c r="J28" s="5" t="s">
        <v>7</v>
      </c>
      <c r="K28" s="5" t="s">
        <v>82</v>
      </c>
      <c r="L28" s="5" t="s">
        <v>8</v>
      </c>
      <c r="M28" s="5" t="s">
        <v>71</v>
      </c>
      <c r="N28" s="5" t="s">
        <v>133</v>
      </c>
      <c r="O28" s="5" t="s">
        <v>173</v>
      </c>
      <c r="P28" s="12">
        <v>0.0</v>
      </c>
      <c r="Q28" s="5"/>
    </row>
    <row r="29" ht="15.75" customHeight="1">
      <c r="A29" s="7" t="s">
        <v>174</v>
      </c>
      <c r="B29" s="7" t="s">
        <v>175</v>
      </c>
      <c r="C29" s="7">
        <v>39.0</v>
      </c>
      <c r="D29" s="7" t="s">
        <v>92</v>
      </c>
      <c r="E29" s="7" t="s">
        <v>58</v>
      </c>
      <c r="F29" s="7" t="s">
        <v>98</v>
      </c>
      <c r="G29" s="7" t="s">
        <v>60</v>
      </c>
      <c r="H29" s="7">
        <v>35.0</v>
      </c>
      <c r="I29" s="7">
        <v>7.0</v>
      </c>
      <c r="J29" s="7" t="s">
        <v>13</v>
      </c>
      <c r="K29" s="7" t="s">
        <v>88</v>
      </c>
      <c r="L29" s="7" t="s">
        <v>14</v>
      </c>
      <c r="M29" s="7" t="s">
        <v>71</v>
      </c>
      <c r="N29" s="7" t="s">
        <v>63</v>
      </c>
      <c r="O29" s="7" t="s">
        <v>176</v>
      </c>
      <c r="P29" s="13">
        <v>0.0</v>
      </c>
      <c r="Q29" s="7"/>
    </row>
    <row r="30" ht="15.75" customHeight="1">
      <c r="A30" s="5" t="s">
        <v>177</v>
      </c>
      <c r="B30" s="5" t="s">
        <v>178</v>
      </c>
      <c r="C30" s="5">
        <v>34.0</v>
      </c>
      <c r="D30" s="5" t="s">
        <v>57</v>
      </c>
      <c r="E30" s="5" t="s">
        <v>179</v>
      </c>
      <c r="F30" s="5" t="s">
        <v>68</v>
      </c>
      <c r="G30" s="5" t="s">
        <v>69</v>
      </c>
      <c r="H30" s="5">
        <v>4.0</v>
      </c>
      <c r="I30" s="5">
        <v>4.0</v>
      </c>
      <c r="J30" s="5" t="s">
        <v>18</v>
      </c>
      <c r="K30" s="5" t="s">
        <v>94</v>
      </c>
      <c r="L30" s="5" t="s">
        <v>14</v>
      </c>
      <c r="M30" s="5" t="s">
        <v>83</v>
      </c>
      <c r="N30" s="5" t="s">
        <v>110</v>
      </c>
      <c r="O30" s="5" t="s">
        <v>180</v>
      </c>
      <c r="P30" s="12">
        <v>0.0</v>
      </c>
      <c r="Q30" s="5"/>
    </row>
    <row r="31" ht="15.75" customHeight="1">
      <c r="A31" s="7" t="s">
        <v>181</v>
      </c>
      <c r="B31" s="7" t="s">
        <v>182</v>
      </c>
      <c r="C31" s="7">
        <v>23.0</v>
      </c>
      <c r="D31" s="7" t="s">
        <v>57</v>
      </c>
      <c r="E31" s="7" t="s">
        <v>58</v>
      </c>
      <c r="F31" s="7" t="s">
        <v>93</v>
      </c>
      <c r="G31" s="7" t="s">
        <v>60</v>
      </c>
      <c r="H31" s="7">
        <v>12.0</v>
      </c>
      <c r="I31" s="7">
        <v>5.0</v>
      </c>
      <c r="J31" s="7" t="s">
        <v>15</v>
      </c>
      <c r="K31" s="7" t="s">
        <v>70</v>
      </c>
      <c r="L31" s="7" t="s">
        <v>14</v>
      </c>
      <c r="M31" s="7" t="s">
        <v>83</v>
      </c>
      <c r="N31" s="7" t="s">
        <v>72</v>
      </c>
      <c r="O31" s="7" t="s">
        <v>183</v>
      </c>
      <c r="P31" s="13">
        <v>0.0</v>
      </c>
      <c r="Q31" s="7"/>
    </row>
    <row r="32" ht="15.75" customHeight="1">
      <c r="A32" s="5" t="s">
        <v>184</v>
      </c>
      <c r="B32" s="5" t="s">
        <v>185</v>
      </c>
      <c r="C32" s="5">
        <v>53.0</v>
      </c>
      <c r="D32" s="5" t="s">
        <v>57</v>
      </c>
      <c r="E32" s="5" t="s">
        <v>114</v>
      </c>
      <c r="F32" s="5" t="s">
        <v>68</v>
      </c>
      <c r="G32" s="5" t="s">
        <v>60</v>
      </c>
      <c r="H32" s="5">
        <v>18.0</v>
      </c>
      <c r="I32" s="5">
        <v>4.0</v>
      </c>
      <c r="J32" s="5" t="s">
        <v>9</v>
      </c>
      <c r="K32" s="5" t="s">
        <v>61</v>
      </c>
      <c r="L32" s="5" t="s">
        <v>10</v>
      </c>
      <c r="M32" s="5" t="s">
        <v>71</v>
      </c>
      <c r="N32" s="5" t="s">
        <v>84</v>
      </c>
      <c r="O32" s="5" t="s">
        <v>186</v>
      </c>
      <c r="P32" s="12">
        <v>800.0</v>
      </c>
      <c r="Q32" s="5">
        <v>5.0</v>
      </c>
    </row>
    <row r="33" ht="15.75" customHeight="1">
      <c r="A33" s="7" t="s">
        <v>187</v>
      </c>
      <c r="B33" s="7" t="s">
        <v>188</v>
      </c>
      <c r="C33" s="7">
        <v>40.0</v>
      </c>
      <c r="D33" s="7" t="s">
        <v>92</v>
      </c>
      <c r="E33" s="7" t="s">
        <v>58</v>
      </c>
      <c r="F33" s="7" t="s">
        <v>81</v>
      </c>
      <c r="G33" s="7" t="s">
        <v>69</v>
      </c>
      <c r="H33" s="7">
        <v>11.0</v>
      </c>
      <c r="I33" s="7">
        <v>3.0</v>
      </c>
      <c r="J33" s="7" t="s">
        <v>15</v>
      </c>
      <c r="K33" s="7" t="s">
        <v>94</v>
      </c>
      <c r="L33" s="7" t="s">
        <v>10</v>
      </c>
      <c r="M33" s="7" t="s">
        <v>106</v>
      </c>
      <c r="N33" s="7" t="s">
        <v>84</v>
      </c>
      <c r="O33" s="7" t="s">
        <v>189</v>
      </c>
      <c r="P33" s="13">
        <v>3500.0</v>
      </c>
      <c r="Q33" s="7">
        <v>5.0</v>
      </c>
    </row>
    <row r="34" ht="15.75" customHeight="1">
      <c r="A34" s="5" t="s">
        <v>190</v>
      </c>
      <c r="B34" s="5" t="s">
        <v>191</v>
      </c>
      <c r="C34" s="5">
        <v>19.0</v>
      </c>
      <c r="D34" s="5" t="s">
        <v>57</v>
      </c>
      <c r="E34" s="5" t="s">
        <v>58</v>
      </c>
      <c r="F34" s="5" t="s">
        <v>121</v>
      </c>
      <c r="G34" s="5" t="s">
        <v>60</v>
      </c>
      <c r="H34" s="5">
        <v>43.0</v>
      </c>
      <c r="I34" s="5">
        <v>3.0</v>
      </c>
      <c r="J34" s="5" t="s">
        <v>15</v>
      </c>
      <c r="K34" s="5" t="s">
        <v>70</v>
      </c>
      <c r="L34" s="5" t="s">
        <v>12</v>
      </c>
      <c r="M34" s="5" t="s">
        <v>145</v>
      </c>
      <c r="N34" s="5" t="s">
        <v>84</v>
      </c>
      <c r="O34" s="5" t="s">
        <v>192</v>
      </c>
      <c r="P34" s="12">
        <v>2000.0</v>
      </c>
      <c r="Q34" s="5">
        <v>5.0</v>
      </c>
    </row>
    <row r="35" ht="15.75" customHeight="1">
      <c r="A35" s="7" t="s">
        <v>193</v>
      </c>
      <c r="B35" s="7" t="s">
        <v>117</v>
      </c>
      <c r="C35" s="7">
        <v>31.0</v>
      </c>
      <c r="D35" s="7" t="s">
        <v>57</v>
      </c>
      <c r="E35" s="7" t="s">
        <v>58</v>
      </c>
      <c r="F35" s="7" t="s">
        <v>76</v>
      </c>
      <c r="G35" s="7" t="s">
        <v>60</v>
      </c>
      <c r="H35" s="7">
        <v>8.0</v>
      </c>
      <c r="I35" s="7">
        <v>6.0</v>
      </c>
      <c r="J35" s="7" t="s">
        <v>13</v>
      </c>
      <c r="K35" s="7" t="s">
        <v>128</v>
      </c>
      <c r="L35" s="7" t="s">
        <v>8</v>
      </c>
      <c r="M35" s="7" t="s">
        <v>71</v>
      </c>
      <c r="N35" s="7" t="s">
        <v>84</v>
      </c>
      <c r="O35" s="7" t="s">
        <v>194</v>
      </c>
      <c r="P35" s="13">
        <v>250.0</v>
      </c>
      <c r="Q35" s="7">
        <v>5.0</v>
      </c>
    </row>
    <row r="36" ht="15.75" customHeight="1">
      <c r="A36" s="5" t="s">
        <v>195</v>
      </c>
      <c r="B36" s="5" t="s">
        <v>140</v>
      </c>
      <c r="C36" s="5">
        <v>33.0</v>
      </c>
      <c r="D36" s="5" t="s">
        <v>92</v>
      </c>
      <c r="E36" s="5" t="s">
        <v>58</v>
      </c>
      <c r="F36" s="5" t="s">
        <v>76</v>
      </c>
      <c r="G36" s="5" t="s">
        <v>69</v>
      </c>
      <c r="H36" s="5">
        <v>42.0</v>
      </c>
      <c r="I36" s="5">
        <v>3.0</v>
      </c>
      <c r="J36" s="5" t="s">
        <v>16</v>
      </c>
      <c r="K36" s="5" t="s">
        <v>82</v>
      </c>
      <c r="L36" s="5" t="s">
        <v>8</v>
      </c>
      <c r="M36" s="5" t="s">
        <v>145</v>
      </c>
      <c r="N36" s="5" t="s">
        <v>77</v>
      </c>
      <c r="O36" s="5" t="s">
        <v>196</v>
      </c>
      <c r="P36" s="12">
        <v>0.0</v>
      </c>
      <c r="Q36" s="5"/>
    </row>
    <row r="37" ht="15.75" customHeight="1">
      <c r="A37" s="7" t="s">
        <v>197</v>
      </c>
      <c r="B37" s="7" t="s">
        <v>198</v>
      </c>
      <c r="C37" s="7">
        <v>46.0</v>
      </c>
      <c r="D37" s="7" t="s">
        <v>57</v>
      </c>
      <c r="E37" s="7" t="s">
        <v>58</v>
      </c>
      <c r="F37" s="7" t="s">
        <v>76</v>
      </c>
      <c r="G37" s="7" t="s">
        <v>69</v>
      </c>
      <c r="H37" s="7">
        <v>36.0</v>
      </c>
      <c r="I37" s="7">
        <v>2.0</v>
      </c>
      <c r="J37" s="7" t="s">
        <v>13</v>
      </c>
      <c r="K37" s="7" t="s">
        <v>132</v>
      </c>
      <c r="L37" s="7" t="s">
        <v>10</v>
      </c>
      <c r="M37" s="7" t="s">
        <v>71</v>
      </c>
      <c r="N37" s="7" t="s">
        <v>152</v>
      </c>
      <c r="O37" s="7" t="s">
        <v>199</v>
      </c>
      <c r="P37" s="13">
        <v>0.0</v>
      </c>
      <c r="Q37" s="7"/>
    </row>
    <row r="38" ht="15.75" customHeight="1">
      <c r="A38" s="5" t="s">
        <v>200</v>
      </c>
      <c r="B38" s="5" t="s">
        <v>201</v>
      </c>
      <c r="C38" s="5">
        <v>24.0</v>
      </c>
      <c r="D38" s="5" t="s">
        <v>57</v>
      </c>
      <c r="E38" s="5" t="s">
        <v>58</v>
      </c>
      <c r="F38" s="5" t="s">
        <v>93</v>
      </c>
      <c r="G38" s="5" t="s">
        <v>69</v>
      </c>
      <c r="H38" s="5">
        <v>26.0</v>
      </c>
      <c r="I38" s="5">
        <v>4.0</v>
      </c>
      <c r="J38" s="5" t="s">
        <v>9</v>
      </c>
      <c r="K38" s="5" t="s">
        <v>70</v>
      </c>
      <c r="L38" s="5" t="s">
        <v>8</v>
      </c>
      <c r="M38" s="5" t="s">
        <v>71</v>
      </c>
      <c r="N38" s="5" t="s">
        <v>110</v>
      </c>
      <c r="O38" s="5" t="s">
        <v>202</v>
      </c>
      <c r="P38" s="12">
        <v>0.0</v>
      </c>
      <c r="Q38" s="5"/>
    </row>
    <row r="39" ht="15.75" customHeight="1">
      <c r="A39" s="7" t="s">
        <v>203</v>
      </c>
      <c r="B39" s="7" t="s">
        <v>75</v>
      </c>
      <c r="C39" s="7">
        <v>29.0</v>
      </c>
      <c r="D39" s="7" t="s">
        <v>57</v>
      </c>
      <c r="E39" s="7" t="s">
        <v>58</v>
      </c>
      <c r="F39" s="7" t="s">
        <v>59</v>
      </c>
      <c r="G39" s="7" t="s">
        <v>69</v>
      </c>
      <c r="H39" s="7">
        <v>9.0</v>
      </c>
      <c r="I39" s="7">
        <v>1.0</v>
      </c>
      <c r="J39" s="7" t="s">
        <v>11</v>
      </c>
      <c r="K39" s="7" t="s">
        <v>132</v>
      </c>
      <c r="L39" s="7" t="s">
        <v>12</v>
      </c>
      <c r="M39" s="7" t="s">
        <v>106</v>
      </c>
      <c r="N39" s="7" t="s">
        <v>77</v>
      </c>
      <c r="O39" s="7" t="s">
        <v>204</v>
      </c>
      <c r="P39" s="13">
        <v>0.0</v>
      </c>
      <c r="Q39" s="7"/>
    </row>
    <row r="40" ht="15.75" customHeight="1">
      <c r="A40" s="5" t="s">
        <v>205</v>
      </c>
      <c r="B40" s="5" t="s">
        <v>206</v>
      </c>
      <c r="C40" s="5">
        <v>22.0</v>
      </c>
      <c r="D40" s="5" t="s">
        <v>92</v>
      </c>
      <c r="E40" s="5" t="s">
        <v>58</v>
      </c>
      <c r="F40" s="5" t="s">
        <v>98</v>
      </c>
      <c r="G40" s="5" t="s">
        <v>69</v>
      </c>
      <c r="H40" s="5">
        <v>39.0</v>
      </c>
      <c r="I40" s="5">
        <v>4.0</v>
      </c>
      <c r="J40" s="5" t="s">
        <v>11</v>
      </c>
      <c r="K40" s="5" t="s">
        <v>102</v>
      </c>
      <c r="L40" s="5" t="s">
        <v>12</v>
      </c>
      <c r="M40" s="5" t="s">
        <v>83</v>
      </c>
      <c r="N40" s="5" t="s">
        <v>84</v>
      </c>
      <c r="O40" s="5" t="s">
        <v>207</v>
      </c>
      <c r="P40" s="12">
        <v>800.0</v>
      </c>
      <c r="Q40" s="5">
        <v>5.0</v>
      </c>
    </row>
    <row r="41" ht="15.75" customHeight="1">
      <c r="A41" s="7" t="s">
        <v>208</v>
      </c>
      <c r="B41" s="7" t="s">
        <v>209</v>
      </c>
      <c r="C41" s="7">
        <v>19.0</v>
      </c>
      <c r="D41" s="7" t="s">
        <v>92</v>
      </c>
      <c r="E41" s="7" t="s">
        <v>58</v>
      </c>
      <c r="F41" s="7" t="s">
        <v>98</v>
      </c>
      <c r="G41" s="7" t="s">
        <v>69</v>
      </c>
      <c r="H41" s="7">
        <v>12.0</v>
      </c>
      <c r="I41" s="7">
        <v>1.0</v>
      </c>
      <c r="J41" s="7" t="s">
        <v>13</v>
      </c>
      <c r="K41" s="7" t="s">
        <v>102</v>
      </c>
      <c r="L41" s="7" t="s">
        <v>14</v>
      </c>
      <c r="M41" s="7" t="s">
        <v>83</v>
      </c>
      <c r="N41" s="7" t="s">
        <v>84</v>
      </c>
      <c r="O41" s="7" t="s">
        <v>210</v>
      </c>
      <c r="P41" s="13">
        <v>1200.0</v>
      </c>
      <c r="Q41" s="7">
        <v>5.0</v>
      </c>
    </row>
    <row r="42" ht="15.75" customHeight="1">
      <c r="A42" s="5" t="s">
        <v>211</v>
      </c>
      <c r="B42" s="5" t="s">
        <v>212</v>
      </c>
      <c r="C42" s="5">
        <v>22.0</v>
      </c>
      <c r="D42" s="5" t="s">
        <v>57</v>
      </c>
      <c r="E42" s="5" t="s">
        <v>58</v>
      </c>
      <c r="F42" s="5" t="s">
        <v>81</v>
      </c>
      <c r="G42" s="5" t="s">
        <v>60</v>
      </c>
      <c r="H42" s="5">
        <v>33.0</v>
      </c>
      <c r="I42" s="5">
        <v>7.0</v>
      </c>
      <c r="J42" s="5" t="s">
        <v>16</v>
      </c>
      <c r="K42" s="5" t="s">
        <v>128</v>
      </c>
      <c r="L42" s="5" t="s">
        <v>8</v>
      </c>
      <c r="M42" s="5" t="s">
        <v>106</v>
      </c>
      <c r="N42" s="5" t="s">
        <v>152</v>
      </c>
      <c r="O42" s="5" t="s">
        <v>213</v>
      </c>
      <c r="P42" s="12">
        <v>0.0</v>
      </c>
      <c r="Q42" s="5"/>
    </row>
    <row r="43" ht="15.75" customHeight="1">
      <c r="A43" s="7" t="s">
        <v>214</v>
      </c>
      <c r="B43" s="7" t="s">
        <v>215</v>
      </c>
      <c r="C43" s="7">
        <v>30.0</v>
      </c>
      <c r="D43" s="7" t="s">
        <v>92</v>
      </c>
      <c r="E43" s="7" t="s">
        <v>58</v>
      </c>
      <c r="F43" s="7" t="s">
        <v>98</v>
      </c>
      <c r="G43" s="7" t="s">
        <v>69</v>
      </c>
      <c r="H43" s="7">
        <v>34.0</v>
      </c>
      <c r="I43" s="7">
        <v>1.0</v>
      </c>
      <c r="J43" s="7" t="s">
        <v>9</v>
      </c>
      <c r="K43" s="7" t="s">
        <v>94</v>
      </c>
      <c r="L43" s="7" t="s">
        <v>8</v>
      </c>
      <c r="M43" s="7" t="s">
        <v>71</v>
      </c>
      <c r="N43" s="7" t="s">
        <v>84</v>
      </c>
      <c r="O43" s="7" t="s">
        <v>216</v>
      </c>
      <c r="P43" s="13">
        <v>1200.0</v>
      </c>
      <c r="Q43" s="7">
        <v>5.0</v>
      </c>
    </row>
    <row r="44" ht="15.75" customHeight="1">
      <c r="A44" s="5" t="s">
        <v>217</v>
      </c>
      <c r="B44" s="5" t="s">
        <v>218</v>
      </c>
      <c r="C44" s="5">
        <v>36.0</v>
      </c>
      <c r="D44" s="5" t="s">
        <v>57</v>
      </c>
      <c r="E44" s="5" t="s">
        <v>67</v>
      </c>
      <c r="F44" s="5" t="s">
        <v>68</v>
      </c>
      <c r="G44" s="5" t="s">
        <v>60</v>
      </c>
      <c r="H44" s="5">
        <v>25.0</v>
      </c>
      <c r="I44" s="5">
        <v>3.0</v>
      </c>
      <c r="J44" s="5" t="s">
        <v>9</v>
      </c>
      <c r="K44" s="5" t="s">
        <v>82</v>
      </c>
      <c r="L44" s="5" t="s">
        <v>10</v>
      </c>
      <c r="M44" s="5" t="s">
        <v>145</v>
      </c>
      <c r="N44" s="5" t="s">
        <v>63</v>
      </c>
      <c r="O44" s="5" t="s">
        <v>219</v>
      </c>
      <c r="P44" s="12">
        <v>0.0</v>
      </c>
      <c r="Q44" s="5"/>
    </row>
    <row r="45" ht="15.75" customHeight="1">
      <c r="A45" s="7" t="s">
        <v>220</v>
      </c>
      <c r="B45" s="7" t="s">
        <v>178</v>
      </c>
      <c r="C45" s="7">
        <v>24.0</v>
      </c>
      <c r="D45" s="7" t="s">
        <v>57</v>
      </c>
      <c r="E45" s="7" t="s">
        <v>58</v>
      </c>
      <c r="F45" s="7" t="s">
        <v>162</v>
      </c>
      <c r="G45" s="7" t="s">
        <v>60</v>
      </c>
      <c r="H45" s="7">
        <v>45.0</v>
      </c>
      <c r="I45" s="7">
        <v>2.0</v>
      </c>
      <c r="J45" s="7" t="s">
        <v>17</v>
      </c>
      <c r="K45" s="7" t="s">
        <v>132</v>
      </c>
      <c r="L45" s="7" t="s">
        <v>10</v>
      </c>
      <c r="M45" s="7" t="s">
        <v>106</v>
      </c>
      <c r="N45" s="7" t="s">
        <v>63</v>
      </c>
      <c r="O45" s="7" t="s">
        <v>221</v>
      </c>
      <c r="P45" s="13">
        <v>0.0</v>
      </c>
      <c r="Q45" s="7"/>
    </row>
    <row r="46" ht="15.75" customHeight="1">
      <c r="A46" s="5" t="s">
        <v>222</v>
      </c>
      <c r="B46" s="5" t="s">
        <v>223</v>
      </c>
      <c r="C46" s="5">
        <v>31.0</v>
      </c>
      <c r="D46" s="5" t="s">
        <v>92</v>
      </c>
      <c r="E46" s="5" t="s">
        <v>58</v>
      </c>
      <c r="F46" s="5" t="s">
        <v>81</v>
      </c>
      <c r="G46" s="5" t="s">
        <v>69</v>
      </c>
      <c r="H46" s="5">
        <v>21.0</v>
      </c>
      <c r="I46" s="5">
        <v>5.0</v>
      </c>
      <c r="J46" s="5" t="s">
        <v>9</v>
      </c>
      <c r="K46" s="5" t="s">
        <v>102</v>
      </c>
      <c r="L46" s="5" t="s">
        <v>12</v>
      </c>
      <c r="M46" s="5" t="s">
        <v>83</v>
      </c>
      <c r="N46" s="5" t="s">
        <v>84</v>
      </c>
      <c r="O46" s="5" t="s">
        <v>224</v>
      </c>
      <c r="P46" s="12">
        <v>250.0</v>
      </c>
      <c r="Q46" s="5">
        <v>4.0</v>
      </c>
    </row>
    <row r="47" ht="15.75" customHeight="1">
      <c r="A47" s="7" t="s">
        <v>225</v>
      </c>
      <c r="B47" s="7" t="s">
        <v>226</v>
      </c>
      <c r="C47" s="7">
        <v>33.0</v>
      </c>
      <c r="D47" s="7" t="s">
        <v>92</v>
      </c>
      <c r="E47" s="7" t="s">
        <v>58</v>
      </c>
      <c r="F47" s="7" t="s">
        <v>162</v>
      </c>
      <c r="G47" s="7" t="s">
        <v>60</v>
      </c>
      <c r="H47" s="7">
        <v>42.0</v>
      </c>
      <c r="I47" s="7">
        <v>6.0</v>
      </c>
      <c r="J47" s="7" t="s">
        <v>15</v>
      </c>
      <c r="K47" s="7" t="s">
        <v>102</v>
      </c>
      <c r="L47" s="7" t="s">
        <v>14</v>
      </c>
      <c r="M47" s="7" t="s">
        <v>62</v>
      </c>
      <c r="N47" s="7" t="s">
        <v>152</v>
      </c>
      <c r="O47" s="7" t="s">
        <v>227</v>
      </c>
      <c r="P47" s="13">
        <v>0.0</v>
      </c>
      <c r="Q47" s="7"/>
    </row>
    <row r="48" ht="15.75" customHeight="1">
      <c r="A48" s="5" t="s">
        <v>228</v>
      </c>
      <c r="B48" s="5" t="s">
        <v>229</v>
      </c>
      <c r="C48" s="5">
        <v>30.0</v>
      </c>
      <c r="D48" s="5" t="s">
        <v>92</v>
      </c>
      <c r="E48" s="5" t="s">
        <v>67</v>
      </c>
      <c r="F48" s="5" t="s">
        <v>68</v>
      </c>
      <c r="G48" s="5" t="s">
        <v>60</v>
      </c>
      <c r="H48" s="5">
        <v>18.0</v>
      </c>
      <c r="I48" s="5">
        <v>8.0</v>
      </c>
      <c r="J48" s="5" t="s">
        <v>18</v>
      </c>
      <c r="K48" s="5" t="s">
        <v>94</v>
      </c>
      <c r="L48" s="5" t="s">
        <v>8</v>
      </c>
      <c r="M48" s="5" t="s">
        <v>145</v>
      </c>
      <c r="N48" s="5" t="s">
        <v>77</v>
      </c>
      <c r="O48" s="5" t="s">
        <v>230</v>
      </c>
      <c r="P48" s="12">
        <v>0.0</v>
      </c>
      <c r="Q48" s="5"/>
    </row>
    <row r="49" ht="15.75" customHeight="1">
      <c r="A49" s="7" t="s">
        <v>231</v>
      </c>
      <c r="B49" s="7" t="s">
        <v>232</v>
      </c>
      <c r="C49" s="7">
        <v>44.0</v>
      </c>
      <c r="D49" s="7" t="s">
        <v>57</v>
      </c>
      <c r="E49" s="7" t="s">
        <v>179</v>
      </c>
      <c r="F49" s="7" t="s">
        <v>68</v>
      </c>
      <c r="G49" s="7" t="s">
        <v>60</v>
      </c>
      <c r="H49" s="7">
        <v>12.0</v>
      </c>
      <c r="I49" s="7">
        <v>1.0</v>
      </c>
      <c r="J49" s="7" t="s">
        <v>15</v>
      </c>
      <c r="K49" s="7" t="s">
        <v>88</v>
      </c>
      <c r="L49" s="7" t="s">
        <v>10</v>
      </c>
      <c r="M49" s="7" t="s">
        <v>71</v>
      </c>
      <c r="N49" s="7" t="s">
        <v>72</v>
      </c>
      <c r="O49" s="7" t="s">
        <v>233</v>
      </c>
      <c r="P49" s="13">
        <v>0.0</v>
      </c>
      <c r="Q49" s="7"/>
    </row>
    <row r="50" ht="15.75" customHeight="1">
      <c r="A50" s="5" t="s">
        <v>234</v>
      </c>
      <c r="B50" s="5" t="s">
        <v>235</v>
      </c>
      <c r="C50" s="5">
        <v>26.0</v>
      </c>
      <c r="D50" s="5" t="s">
        <v>57</v>
      </c>
      <c r="E50" s="5" t="s">
        <v>58</v>
      </c>
      <c r="F50" s="5" t="s">
        <v>81</v>
      </c>
      <c r="G50" s="5" t="s">
        <v>60</v>
      </c>
      <c r="H50" s="5">
        <v>5.0</v>
      </c>
      <c r="I50" s="5">
        <v>4.0</v>
      </c>
      <c r="J50" s="5" t="s">
        <v>11</v>
      </c>
      <c r="K50" s="5" t="s">
        <v>94</v>
      </c>
      <c r="L50" s="5" t="s">
        <v>14</v>
      </c>
      <c r="M50" s="5" t="s">
        <v>71</v>
      </c>
      <c r="N50" s="5" t="s">
        <v>84</v>
      </c>
      <c r="O50" s="5" t="s">
        <v>236</v>
      </c>
      <c r="P50" s="12">
        <v>250.0</v>
      </c>
      <c r="Q50" s="5">
        <v>5.0</v>
      </c>
    </row>
    <row r="51" ht="15.75" customHeight="1">
      <c r="A51" s="7" t="s">
        <v>237</v>
      </c>
      <c r="B51" s="7" t="s">
        <v>238</v>
      </c>
      <c r="C51" s="7">
        <v>39.0</v>
      </c>
      <c r="D51" s="7" t="s">
        <v>92</v>
      </c>
      <c r="E51" s="7" t="s">
        <v>67</v>
      </c>
      <c r="F51" s="7" t="s">
        <v>68</v>
      </c>
      <c r="G51" s="7" t="s">
        <v>60</v>
      </c>
      <c r="H51" s="7">
        <v>31.0</v>
      </c>
      <c r="I51" s="7">
        <v>5.0</v>
      </c>
      <c r="J51" s="7" t="s">
        <v>7</v>
      </c>
      <c r="K51" s="7" t="s">
        <v>70</v>
      </c>
      <c r="L51" s="7" t="s">
        <v>14</v>
      </c>
      <c r="M51" s="7" t="s">
        <v>145</v>
      </c>
      <c r="N51" s="7" t="s">
        <v>63</v>
      </c>
      <c r="O51" s="7" t="s">
        <v>239</v>
      </c>
      <c r="P51" s="13">
        <v>0.0</v>
      </c>
      <c r="Q51" s="7"/>
    </row>
    <row r="52" ht="15.75" customHeight="1">
      <c r="A52" s="5" t="s">
        <v>240</v>
      </c>
      <c r="B52" s="5" t="s">
        <v>241</v>
      </c>
      <c r="C52" s="5">
        <v>45.0</v>
      </c>
      <c r="D52" s="5" t="s">
        <v>92</v>
      </c>
      <c r="E52" s="5" t="s">
        <v>67</v>
      </c>
      <c r="F52" s="5" t="s">
        <v>68</v>
      </c>
      <c r="G52" s="5" t="s">
        <v>60</v>
      </c>
      <c r="H52" s="5">
        <v>9.0</v>
      </c>
      <c r="I52" s="5">
        <v>1.0</v>
      </c>
      <c r="J52" s="5" t="s">
        <v>11</v>
      </c>
      <c r="K52" s="5" t="s">
        <v>132</v>
      </c>
      <c r="L52" s="5" t="s">
        <v>14</v>
      </c>
      <c r="M52" s="5" t="s">
        <v>62</v>
      </c>
      <c r="N52" s="5" t="s">
        <v>77</v>
      </c>
      <c r="O52" s="5" t="s">
        <v>242</v>
      </c>
      <c r="P52" s="12">
        <v>0.0</v>
      </c>
      <c r="Q52" s="5"/>
    </row>
    <row r="53" ht="15.75" customHeight="1">
      <c r="A53" s="7" t="s">
        <v>243</v>
      </c>
      <c r="B53" s="7" t="s">
        <v>244</v>
      </c>
      <c r="C53" s="7">
        <v>31.0</v>
      </c>
      <c r="D53" s="7" t="s">
        <v>57</v>
      </c>
      <c r="E53" s="7" t="s">
        <v>114</v>
      </c>
      <c r="F53" s="7" t="s">
        <v>68</v>
      </c>
      <c r="G53" s="7" t="s">
        <v>60</v>
      </c>
      <c r="H53" s="7">
        <v>20.0</v>
      </c>
      <c r="I53" s="7">
        <v>6.0</v>
      </c>
      <c r="J53" s="7" t="s">
        <v>9</v>
      </c>
      <c r="K53" s="7" t="s">
        <v>94</v>
      </c>
      <c r="L53" s="7" t="s">
        <v>14</v>
      </c>
      <c r="M53" s="7" t="s">
        <v>106</v>
      </c>
      <c r="N53" s="7" t="s">
        <v>84</v>
      </c>
      <c r="O53" s="7" t="s">
        <v>245</v>
      </c>
      <c r="P53" s="13">
        <v>3500.0</v>
      </c>
      <c r="Q53" s="7">
        <v>4.0</v>
      </c>
    </row>
    <row r="54" ht="15.75" customHeight="1">
      <c r="A54" s="5" t="s">
        <v>246</v>
      </c>
      <c r="B54" s="5" t="s">
        <v>113</v>
      </c>
      <c r="C54" s="5">
        <v>23.0</v>
      </c>
      <c r="D54" s="5" t="s">
        <v>92</v>
      </c>
      <c r="E54" s="5" t="s">
        <v>67</v>
      </c>
      <c r="F54" s="5" t="s">
        <v>68</v>
      </c>
      <c r="G54" s="5" t="s">
        <v>60</v>
      </c>
      <c r="H54" s="5">
        <v>39.0</v>
      </c>
      <c r="I54" s="5">
        <v>0.0</v>
      </c>
      <c r="J54" s="5" t="s">
        <v>13</v>
      </c>
      <c r="K54" s="5" t="s">
        <v>70</v>
      </c>
      <c r="L54" s="5" t="s">
        <v>12</v>
      </c>
      <c r="M54" s="5" t="s">
        <v>71</v>
      </c>
      <c r="N54" s="5" t="s">
        <v>72</v>
      </c>
      <c r="O54" s="5" t="s">
        <v>247</v>
      </c>
      <c r="P54" s="12">
        <v>0.0</v>
      </c>
      <c r="Q54" s="5"/>
    </row>
    <row r="55" ht="15.75" customHeight="1">
      <c r="A55" s="7" t="s">
        <v>248</v>
      </c>
      <c r="B55" s="7" t="s">
        <v>249</v>
      </c>
      <c r="C55" s="7">
        <v>25.0</v>
      </c>
      <c r="D55" s="7" t="s">
        <v>57</v>
      </c>
      <c r="E55" s="7" t="s">
        <v>58</v>
      </c>
      <c r="F55" s="7" t="s">
        <v>59</v>
      </c>
      <c r="G55" s="7" t="s">
        <v>60</v>
      </c>
      <c r="H55" s="7">
        <v>32.0</v>
      </c>
      <c r="I55" s="7">
        <v>8.0</v>
      </c>
      <c r="J55" s="7" t="s">
        <v>9</v>
      </c>
      <c r="K55" s="7" t="s">
        <v>70</v>
      </c>
      <c r="L55" s="7" t="s">
        <v>10</v>
      </c>
      <c r="M55" s="7" t="s">
        <v>106</v>
      </c>
      <c r="N55" s="7" t="s">
        <v>84</v>
      </c>
      <c r="O55" s="7" t="s">
        <v>250</v>
      </c>
      <c r="P55" s="13">
        <v>2000.0</v>
      </c>
      <c r="Q55" s="7">
        <v>5.0</v>
      </c>
    </row>
    <row r="56" ht="15.75" customHeight="1">
      <c r="A56" s="5" t="s">
        <v>251</v>
      </c>
      <c r="B56" s="5" t="s">
        <v>209</v>
      </c>
      <c r="C56" s="5">
        <v>20.0</v>
      </c>
      <c r="D56" s="5" t="s">
        <v>92</v>
      </c>
      <c r="E56" s="5" t="s">
        <v>58</v>
      </c>
      <c r="F56" s="5" t="s">
        <v>121</v>
      </c>
      <c r="G56" s="5" t="s">
        <v>60</v>
      </c>
      <c r="H56" s="5">
        <v>7.0</v>
      </c>
      <c r="I56" s="5">
        <v>7.0</v>
      </c>
      <c r="J56" s="5" t="s">
        <v>7</v>
      </c>
      <c r="K56" s="5" t="s">
        <v>70</v>
      </c>
      <c r="L56" s="5" t="s">
        <v>10</v>
      </c>
      <c r="M56" s="5" t="s">
        <v>62</v>
      </c>
      <c r="N56" s="5" t="s">
        <v>77</v>
      </c>
      <c r="O56" s="5" t="s">
        <v>252</v>
      </c>
      <c r="P56" s="12">
        <v>0.0</v>
      </c>
      <c r="Q56" s="5"/>
    </row>
    <row r="57" ht="15.75" customHeight="1">
      <c r="A57" s="7" t="s">
        <v>253</v>
      </c>
      <c r="B57" s="7" t="s">
        <v>254</v>
      </c>
      <c r="C57" s="7">
        <v>34.0</v>
      </c>
      <c r="D57" s="7" t="s">
        <v>57</v>
      </c>
      <c r="E57" s="7" t="s">
        <v>114</v>
      </c>
      <c r="F57" s="7" t="s">
        <v>68</v>
      </c>
      <c r="G57" s="7" t="s">
        <v>60</v>
      </c>
      <c r="H57" s="7">
        <v>10.0</v>
      </c>
      <c r="I57" s="7">
        <v>4.0</v>
      </c>
      <c r="J57" s="7" t="s">
        <v>17</v>
      </c>
      <c r="K57" s="7" t="s">
        <v>94</v>
      </c>
      <c r="L57" s="7" t="s">
        <v>14</v>
      </c>
      <c r="M57" s="7" t="s">
        <v>71</v>
      </c>
      <c r="N57" s="7" t="s">
        <v>63</v>
      </c>
      <c r="O57" s="7" t="s">
        <v>255</v>
      </c>
      <c r="P57" s="13">
        <v>0.0</v>
      </c>
      <c r="Q57" s="7"/>
    </row>
    <row r="58" ht="15.75" customHeight="1">
      <c r="A58" s="5" t="s">
        <v>256</v>
      </c>
      <c r="B58" s="5" t="s">
        <v>257</v>
      </c>
      <c r="C58" s="5">
        <v>46.0</v>
      </c>
      <c r="D58" s="5" t="s">
        <v>92</v>
      </c>
      <c r="E58" s="5" t="s">
        <v>58</v>
      </c>
      <c r="F58" s="5" t="s">
        <v>93</v>
      </c>
      <c r="G58" s="5" t="s">
        <v>60</v>
      </c>
      <c r="H58" s="5">
        <v>40.0</v>
      </c>
      <c r="I58" s="5">
        <v>8.0</v>
      </c>
      <c r="J58" s="5" t="s">
        <v>18</v>
      </c>
      <c r="K58" s="5" t="s">
        <v>88</v>
      </c>
      <c r="L58" s="5" t="s">
        <v>12</v>
      </c>
      <c r="M58" s="5" t="s">
        <v>62</v>
      </c>
      <c r="N58" s="5" t="s">
        <v>133</v>
      </c>
      <c r="O58" s="5" t="s">
        <v>258</v>
      </c>
      <c r="P58" s="12">
        <v>0.0</v>
      </c>
      <c r="Q58" s="5"/>
    </row>
    <row r="59" ht="15.75" customHeight="1">
      <c r="A59" s="7" t="s">
        <v>259</v>
      </c>
      <c r="B59" s="7" t="s">
        <v>260</v>
      </c>
      <c r="C59" s="7">
        <v>23.0</v>
      </c>
      <c r="D59" s="7" t="s">
        <v>92</v>
      </c>
      <c r="E59" s="7" t="s">
        <v>58</v>
      </c>
      <c r="F59" s="7" t="s">
        <v>93</v>
      </c>
      <c r="G59" s="7" t="s">
        <v>60</v>
      </c>
      <c r="H59" s="7">
        <v>15.0</v>
      </c>
      <c r="I59" s="7">
        <v>8.0</v>
      </c>
      <c r="J59" s="7" t="s">
        <v>17</v>
      </c>
      <c r="K59" s="7" t="s">
        <v>132</v>
      </c>
      <c r="L59" s="7" t="s">
        <v>12</v>
      </c>
      <c r="M59" s="7" t="s">
        <v>106</v>
      </c>
      <c r="N59" s="7" t="s">
        <v>72</v>
      </c>
      <c r="O59" s="7" t="s">
        <v>261</v>
      </c>
      <c r="P59" s="13">
        <v>0.0</v>
      </c>
      <c r="Q59" s="7"/>
    </row>
    <row r="60" ht="15.75" customHeight="1">
      <c r="A60" s="5" t="s">
        <v>262</v>
      </c>
      <c r="B60" s="5" t="s">
        <v>263</v>
      </c>
      <c r="C60" s="5">
        <v>21.0</v>
      </c>
      <c r="D60" s="5" t="s">
        <v>57</v>
      </c>
      <c r="E60" s="5" t="s">
        <v>67</v>
      </c>
      <c r="F60" s="5" t="s">
        <v>68</v>
      </c>
      <c r="G60" s="5" t="s">
        <v>60</v>
      </c>
      <c r="H60" s="5">
        <v>18.0</v>
      </c>
      <c r="I60" s="5">
        <v>0.0</v>
      </c>
      <c r="J60" s="5" t="s">
        <v>9</v>
      </c>
      <c r="K60" s="5" t="s">
        <v>94</v>
      </c>
      <c r="L60" s="5" t="s">
        <v>12</v>
      </c>
      <c r="M60" s="5" t="s">
        <v>83</v>
      </c>
      <c r="N60" s="5" t="s">
        <v>77</v>
      </c>
      <c r="O60" s="5" t="s">
        <v>264</v>
      </c>
      <c r="P60" s="12">
        <v>0.0</v>
      </c>
      <c r="Q60" s="5"/>
    </row>
    <row r="61" ht="15.75" customHeight="1">
      <c r="A61" s="7" t="s">
        <v>265</v>
      </c>
      <c r="B61" s="7" t="s">
        <v>266</v>
      </c>
      <c r="C61" s="7">
        <v>35.0</v>
      </c>
      <c r="D61" s="7" t="s">
        <v>57</v>
      </c>
      <c r="E61" s="7" t="s">
        <v>58</v>
      </c>
      <c r="F61" s="7" t="s">
        <v>76</v>
      </c>
      <c r="G61" s="7" t="s">
        <v>69</v>
      </c>
      <c r="H61" s="7">
        <v>8.0</v>
      </c>
      <c r="I61" s="7">
        <v>7.0</v>
      </c>
      <c r="J61" s="7" t="s">
        <v>13</v>
      </c>
      <c r="K61" s="7" t="s">
        <v>82</v>
      </c>
      <c r="L61" s="7" t="s">
        <v>12</v>
      </c>
      <c r="M61" s="7" t="s">
        <v>145</v>
      </c>
      <c r="N61" s="7" t="s">
        <v>84</v>
      </c>
      <c r="O61" s="7" t="s">
        <v>267</v>
      </c>
      <c r="P61" s="13">
        <v>350.0</v>
      </c>
      <c r="Q61" s="7">
        <v>5.0</v>
      </c>
    </row>
    <row r="62" ht="15.75" customHeight="1">
      <c r="A62" s="5" t="s">
        <v>268</v>
      </c>
      <c r="B62" s="5" t="s">
        <v>127</v>
      </c>
      <c r="C62" s="5">
        <v>25.0</v>
      </c>
      <c r="D62" s="5" t="s">
        <v>92</v>
      </c>
      <c r="E62" s="5" t="s">
        <v>58</v>
      </c>
      <c r="F62" s="5" t="s">
        <v>81</v>
      </c>
      <c r="G62" s="5" t="s">
        <v>69</v>
      </c>
      <c r="H62" s="5">
        <v>7.0</v>
      </c>
      <c r="I62" s="5">
        <v>6.0</v>
      </c>
      <c r="J62" s="5" t="s">
        <v>9</v>
      </c>
      <c r="K62" s="5" t="s">
        <v>61</v>
      </c>
      <c r="L62" s="5" t="s">
        <v>10</v>
      </c>
      <c r="M62" s="5" t="s">
        <v>62</v>
      </c>
      <c r="N62" s="5" t="s">
        <v>72</v>
      </c>
      <c r="O62" s="5" t="s">
        <v>269</v>
      </c>
      <c r="P62" s="12">
        <v>0.0</v>
      </c>
      <c r="Q62" s="5"/>
    </row>
    <row r="63" ht="15.75" customHeight="1">
      <c r="A63" s="7" t="s">
        <v>270</v>
      </c>
      <c r="B63" s="7" t="s">
        <v>238</v>
      </c>
      <c r="C63" s="7">
        <v>26.0</v>
      </c>
      <c r="D63" s="7" t="s">
        <v>92</v>
      </c>
      <c r="E63" s="7" t="s">
        <v>58</v>
      </c>
      <c r="F63" s="7" t="s">
        <v>93</v>
      </c>
      <c r="G63" s="7" t="s">
        <v>69</v>
      </c>
      <c r="H63" s="7">
        <v>14.0</v>
      </c>
      <c r="I63" s="7">
        <v>1.0</v>
      </c>
      <c r="J63" s="7" t="s">
        <v>9</v>
      </c>
      <c r="K63" s="7" t="s">
        <v>88</v>
      </c>
      <c r="L63" s="7" t="s">
        <v>10</v>
      </c>
      <c r="M63" s="7" t="s">
        <v>83</v>
      </c>
      <c r="N63" s="7" t="s">
        <v>63</v>
      </c>
      <c r="O63" s="7" t="s">
        <v>271</v>
      </c>
      <c r="P63" s="13">
        <v>0.0</v>
      </c>
      <c r="Q63" s="7"/>
    </row>
    <row r="64" ht="15.75" customHeight="1">
      <c r="A64" s="5" t="s">
        <v>272</v>
      </c>
      <c r="B64" s="5" t="s">
        <v>273</v>
      </c>
      <c r="C64" s="5">
        <v>37.0</v>
      </c>
      <c r="D64" s="5" t="s">
        <v>57</v>
      </c>
      <c r="E64" s="5" t="s">
        <v>58</v>
      </c>
      <c r="F64" s="5" t="s">
        <v>93</v>
      </c>
      <c r="G64" s="5" t="s">
        <v>69</v>
      </c>
      <c r="H64" s="5">
        <v>17.0</v>
      </c>
      <c r="I64" s="5">
        <v>1.0</v>
      </c>
      <c r="J64" s="5" t="s">
        <v>17</v>
      </c>
      <c r="K64" s="5" t="s">
        <v>94</v>
      </c>
      <c r="L64" s="5" t="s">
        <v>12</v>
      </c>
      <c r="M64" s="5" t="s">
        <v>106</v>
      </c>
      <c r="N64" s="5" t="s">
        <v>72</v>
      </c>
      <c r="O64" s="5" t="s">
        <v>274</v>
      </c>
      <c r="P64" s="12">
        <v>0.0</v>
      </c>
      <c r="Q64" s="5"/>
    </row>
    <row r="65" ht="15.75" customHeight="1">
      <c r="A65" s="7" t="s">
        <v>275</v>
      </c>
      <c r="B65" s="7" t="s">
        <v>235</v>
      </c>
      <c r="C65" s="7">
        <v>40.0</v>
      </c>
      <c r="D65" s="7" t="s">
        <v>57</v>
      </c>
      <c r="E65" s="7" t="s">
        <v>179</v>
      </c>
      <c r="F65" s="7" t="s">
        <v>68</v>
      </c>
      <c r="G65" s="7" t="s">
        <v>60</v>
      </c>
      <c r="H65" s="7">
        <v>40.0</v>
      </c>
      <c r="I65" s="7">
        <v>5.0</v>
      </c>
      <c r="J65" s="7" t="s">
        <v>15</v>
      </c>
      <c r="K65" s="7" t="s">
        <v>94</v>
      </c>
      <c r="L65" s="7" t="s">
        <v>14</v>
      </c>
      <c r="M65" s="7" t="s">
        <v>62</v>
      </c>
      <c r="N65" s="7" t="s">
        <v>77</v>
      </c>
      <c r="O65" s="7" t="s">
        <v>276</v>
      </c>
      <c r="P65" s="13">
        <v>0.0</v>
      </c>
      <c r="Q65" s="7"/>
    </row>
    <row r="66" ht="15.75" customHeight="1">
      <c r="A66" s="5" t="s">
        <v>277</v>
      </c>
      <c r="B66" s="5" t="s">
        <v>198</v>
      </c>
      <c r="C66" s="5">
        <v>45.0</v>
      </c>
      <c r="D66" s="5" t="s">
        <v>57</v>
      </c>
      <c r="E66" s="5" t="s">
        <v>58</v>
      </c>
      <c r="F66" s="5" t="s">
        <v>121</v>
      </c>
      <c r="G66" s="5" t="s">
        <v>60</v>
      </c>
      <c r="H66" s="5">
        <v>11.0</v>
      </c>
      <c r="I66" s="5">
        <v>5.0</v>
      </c>
      <c r="J66" s="5" t="s">
        <v>13</v>
      </c>
      <c r="K66" s="5" t="s">
        <v>70</v>
      </c>
      <c r="L66" s="5" t="s">
        <v>10</v>
      </c>
      <c r="M66" s="5" t="s">
        <v>145</v>
      </c>
      <c r="N66" s="5" t="s">
        <v>72</v>
      </c>
      <c r="O66" s="5" t="s">
        <v>278</v>
      </c>
      <c r="P66" s="12">
        <v>0.0</v>
      </c>
      <c r="Q66" s="5"/>
    </row>
    <row r="67" ht="15.75" customHeight="1">
      <c r="A67" s="7" t="s">
        <v>279</v>
      </c>
      <c r="B67" s="7" t="s">
        <v>113</v>
      </c>
      <c r="C67" s="7">
        <v>33.0</v>
      </c>
      <c r="D67" s="7" t="s">
        <v>92</v>
      </c>
      <c r="E67" s="7" t="s">
        <v>58</v>
      </c>
      <c r="F67" s="7" t="s">
        <v>93</v>
      </c>
      <c r="G67" s="7" t="s">
        <v>69</v>
      </c>
      <c r="H67" s="7">
        <v>45.0</v>
      </c>
      <c r="I67" s="7">
        <v>0.0</v>
      </c>
      <c r="J67" s="7" t="s">
        <v>16</v>
      </c>
      <c r="K67" s="7" t="s">
        <v>70</v>
      </c>
      <c r="L67" s="7" t="s">
        <v>8</v>
      </c>
      <c r="M67" s="7" t="s">
        <v>71</v>
      </c>
      <c r="N67" s="7" t="s">
        <v>77</v>
      </c>
      <c r="O67" s="7" t="s">
        <v>280</v>
      </c>
      <c r="P67" s="13">
        <v>0.0</v>
      </c>
      <c r="Q67" s="7"/>
    </row>
    <row r="68" ht="15.75" customHeight="1">
      <c r="A68" s="5" t="s">
        <v>281</v>
      </c>
      <c r="B68" s="5" t="s">
        <v>282</v>
      </c>
      <c r="C68" s="5">
        <v>34.0</v>
      </c>
      <c r="D68" s="5" t="s">
        <v>57</v>
      </c>
      <c r="E68" s="5" t="s">
        <v>179</v>
      </c>
      <c r="F68" s="5" t="s">
        <v>68</v>
      </c>
      <c r="G68" s="5" t="s">
        <v>60</v>
      </c>
      <c r="H68" s="5">
        <v>8.0</v>
      </c>
      <c r="I68" s="5">
        <v>1.0</v>
      </c>
      <c r="J68" s="5" t="s">
        <v>15</v>
      </c>
      <c r="K68" s="5" t="s">
        <v>128</v>
      </c>
      <c r="L68" s="5" t="s">
        <v>10</v>
      </c>
      <c r="M68" s="5" t="s">
        <v>145</v>
      </c>
      <c r="N68" s="5" t="s">
        <v>84</v>
      </c>
      <c r="O68" s="5" t="s">
        <v>283</v>
      </c>
      <c r="P68" s="12">
        <v>3500.0</v>
      </c>
      <c r="Q68" s="5">
        <v>5.0</v>
      </c>
    </row>
    <row r="69" ht="15.75" customHeight="1">
      <c r="A69" s="7" t="s">
        <v>284</v>
      </c>
      <c r="B69" s="7" t="s">
        <v>285</v>
      </c>
      <c r="C69" s="7">
        <v>44.0</v>
      </c>
      <c r="D69" s="7" t="s">
        <v>92</v>
      </c>
      <c r="E69" s="7" t="s">
        <v>58</v>
      </c>
      <c r="F69" s="7" t="s">
        <v>98</v>
      </c>
      <c r="G69" s="7" t="s">
        <v>69</v>
      </c>
      <c r="H69" s="7">
        <v>39.0</v>
      </c>
      <c r="I69" s="7">
        <v>3.0</v>
      </c>
      <c r="J69" s="7" t="s">
        <v>17</v>
      </c>
      <c r="K69" s="7" t="s">
        <v>102</v>
      </c>
      <c r="L69" s="7" t="s">
        <v>12</v>
      </c>
      <c r="M69" s="7" t="s">
        <v>83</v>
      </c>
      <c r="N69" s="7" t="s">
        <v>110</v>
      </c>
      <c r="O69" s="7" t="s">
        <v>286</v>
      </c>
      <c r="P69" s="13">
        <v>0.0</v>
      </c>
      <c r="Q69" s="7"/>
    </row>
    <row r="70" ht="15.75" customHeight="1">
      <c r="A70" s="5" t="s">
        <v>287</v>
      </c>
      <c r="B70" s="5" t="s">
        <v>226</v>
      </c>
      <c r="C70" s="5">
        <v>27.0</v>
      </c>
      <c r="D70" s="5" t="s">
        <v>92</v>
      </c>
      <c r="E70" s="5" t="s">
        <v>58</v>
      </c>
      <c r="F70" s="5" t="s">
        <v>59</v>
      </c>
      <c r="G70" s="5" t="s">
        <v>60</v>
      </c>
      <c r="H70" s="5">
        <v>33.0</v>
      </c>
      <c r="I70" s="5">
        <v>7.0</v>
      </c>
      <c r="J70" s="5" t="s">
        <v>7</v>
      </c>
      <c r="K70" s="5" t="s">
        <v>61</v>
      </c>
      <c r="L70" s="5" t="s">
        <v>12</v>
      </c>
      <c r="M70" s="5" t="s">
        <v>71</v>
      </c>
      <c r="N70" s="5" t="s">
        <v>84</v>
      </c>
      <c r="O70" s="5" t="s">
        <v>288</v>
      </c>
      <c r="P70" s="12">
        <v>350.0</v>
      </c>
      <c r="Q70" s="5">
        <v>5.0</v>
      </c>
    </row>
    <row r="71" ht="15.75" customHeight="1">
      <c r="A71" s="7" t="s">
        <v>289</v>
      </c>
      <c r="B71" s="7" t="s">
        <v>127</v>
      </c>
      <c r="C71" s="7">
        <v>31.0</v>
      </c>
      <c r="D71" s="7" t="s">
        <v>92</v>
      </c>
      <c r="E71" s="7" t="s">
        <v>58</v>
      </c>
      <c r="F71" s="7" t="s">
        <v>162</v>
      </c>
      <c r="G71" s="7" t="s">
        <v>60</v>
      </c>
      <c r="H71" s="7">
        <v>33.0</v>
      </c>
      <c r="I71" s="7">
        <v>6.0</v>
      </c>
      <c r="J71" s="7" t="s">
        <v>16</v>
      </c>
      <c r="K71" s="7" t="s">
        <v>132</v>
      </c>
      <c r="L71" s="7" t="s">
        <v>10</v>
      </c>
      <c r="M71" s="7" t="s">
        <v>71</v>
      </c>
      <c r="N71" s="7" t="s">
        <v>84</v>
      </c>
      <c r="O71" s="7" t="s">
        <v>290</v>
      </c>
      <c r="P71" s="13">
        <v>800.0</v>
      </c>
      <c r="Q71" s="7">
        <v>5.0</v>
      </c>
    </row>
    <row r="72" ht="15.75" customHeight="1">
      <c r="A72" s="5" t="s">
        <v>291</v>
      </c>
      <c r="B72" s="5" t="s">
        <v>127</v>
      </c>
      <c r="C72" s="5">
        <v>45.0</v>
      </c>
      <c r="D72" s="5" t="s">
        <v>92</v>
      </c>
      <c r="E72" s="5" t="s">
        <v>58</v>
      </c>
      <c r="F72" s="5" t="s">
        <v>98</v>
      </c>
      <c r="G72" s="5" t="s">
        <v>60</v>
      </c>
      <c r="H72" s="5">
        <v>19.0</v>
      </c>
      <c r="I72" s="5">
        <v>1.0</v>
      </c>
      <c r="J72" s="5" t="s">
        <v>11</v>
      </c>
      <c r="K72" s="5" t="s">
        <v>94</v>
      </c>
      <c r="L72" s="5" t="s">
        <v>14</v>
      </c>
      <c r="M72" s="5" t="s">
        <v>62</v>
      </c>
      <c r="N72" s="5" t="s">
        <v>84</v>
      </c>
      <c r="O72" s="5" t="s">
        <v>292</v>
      </c>
      <c r="P72" s="12">
        <v>1200.0</v>
      </c>
      <c r="Q72" s="5">
        <v>5.0</v>
      </c>
    </row>
    <row r="73" ht="15.75" customHeight="1">
      <c r="A73" s="7" t="s">
        <v>293</v>
      </c>
      <c r="B73" s="7" t="s">
        <v>294</v>
      </c>
      <c r="C73" s="7">
        <v>26.0</v>
      </c>
      <c r="D73" s="7" t="s">
        <v>92</v>
      </c>
      <c r="E73" s="7" t="s">
        <v>58</v>
      </c>
      <c r="F73" s="7" t="s">
        <v>98</v>
      </c>
      <c r="G73" s="7" t="s">
        <v>69</v>
      </c>
      <c r="H73" s="7">
        <v>27.0</v>
      </c>
      <c r="I73" s="7">
        <v>4.0</v>
      </c>
      <c r="J73" s="7" t="s">
        <v>17</v>
      </c>
      <c r="K73" s="7" t="s">
        <v>82</v>
      </c>
      <c r="L73" s="7" t="s">
        <v>12</v>
      </c>
      <c r="M73" s="7" t="s">
        <v>106</v>
      </c>
      <c r="N73" s="7" t="s">
        <v>152</v>
      </c>
      <c r="O73" s="7" t="s">
        <v>295</v>
      </c>
      <c r="P73" s="13">
        <v>0.0</v>
      </c>
      <c r="Q73" s="7"/>
    </row>
    <row r="74" ht="15.75" customHeight="1">
      <c r="A74" s="5" t="s">
        <v>296</v>
      </c>
      <c r="B74" s="5" t="s">
        <v>254</v>
      </c>
      <c r="C74" s="5">
        <v>50.0</v>
      </c>
      <c r="D74" s="5" t="s">
        <v>57</v>
      </c>
      <c r="E74" s="5" t="s">
        <v>58</v>
      </c>
      <c r="F74" s="5" t="s">
        <v>98</v>
      </c>
      <c r="G74" s="5" t="s">
        <v>60</v>
      </c>
      <c r="H74" s="5">
        <v>45.0</v>
      </c>
      <c r="I74" s="5">
        <v>1.0</v>
      </c>
      <c r="J74" s="5" t="s">
        <v>16</v>
      </c>
      <c r="K74" s="5" t="s">
        <v>61</v>
      </c>
      <c r="L74" s="5" t="s">
        <v>10</v>
      </c>
      <c r="M74" s="5" t="s">
        <v>62</v>
      </c>
      <c r="N74" s="5" t="s">
        <v>77</v>
      </c>
      <c r="O74" s="5" t="s">
        <v>297</v>
      </c>
      <c r="P74" s="12">
        <v>0.0</v>
      </c>
      <c r="Q74" s="5"/>
    </row>
    <row r="75" ht="15.75" customHeight="1">
      <c r="A75" s="7" t="s">
        <v>298</v>
      </c>
      <c r="B75" s="7" t="s">
        <v>209</v>
      </c>
      <c r="C75" s="7">
        <v>36.0</v>
      </c>
      <c r="D75" s="7" t="s">
        <v>92</v>
      </c>
      <c r="E75" s="7" t="s">
        <v>58</v>
      </c>
      <c r="F75" s="7" t="s">
        <v>81</v>
      </c>
      <c r="G75" s="7" t="s">
        <v>60</v>
      </c>
      <c r="H75" s="7">
        <v>33.0</v>
      </c>
      <c r="I75" s="7">
        <v>6.0</v>
      </c>
      <c r="J75" s="7" t="s">
        <v>16</v>
      </c>
      <c r="K75" s="7" t="s">
        <v>128</v>
      </c>
      <c r="L75" s="7" t="s">
        <v>10</v>
      </c>
      <c r="M75" s="7" t="s">
        <v>83</v>
      </c>
      <c r="N75" s="7" t="s">
        <v>84</v>
      </c>
      <c r="O75" s="7" t="s">
        <v>299</v>
      </c>
      <c r="P75" s="13">
        <v>1200.0</v>
      </c>
      <c r="Q75" s="7">
        <v>5.0</v>
      </c>
    </row>
    <row r="76" ht="15.75" customHeight="1">
      <c r="A76" s="5" t="s">
        <v>300</v>
      </c>
      <c r="B76" s="5" t="s">
        <v>301</v>
      </c>
      <c r="C76" s="5">
        <v>25.0</v>
      </c>
      <c r="D76" s="5" t="s">
        <v>57</v>
      </c>
      <c r="E76" s="5" t="s">
        <v>137</v>
      </c>
      <c r="F76" s="5" t="s">
        <v>68</v>
      </c>
      <c r="G76" s="5" t="s">
        <v>60</v>
      </c>
      <c r="H76" s="5">
        <v>7.0</v>
      </c>
      <c r="I76" s="5">
        <v>4.0</v>
      </c>
      <c r="J76" s="5" t="s">
        <v>7</v>
      </c>
      <c r="K76" s="5" t="s">
        <v>88</v>
      </c>
      <c r="L76" s="5" t="s">
        <v>8</v>
      </c>
      <c r="M76" s="5" t="s">
        <v>106</v>
      </c>
      <c r="N76" s="5" t="s">
        <v>84</v>
      </c>
      <c r="O76" s="5" t="s">
        <v>302</v>
      </c>
      <c r="P76" s="12">
        <v>500.0</v>
      </c>
      <c r="Q76" s="5">
        <v>5.0</v>
      </c>
    </row>
    <row r="77" ht="15.75" customHeight="1">
      <c r="A77" s="7" t="s">
        <v>303</v>
      </c>
      <c r="B77" s="7" t="s">
        <v>175</v>
      </c>
      <c r="C77" s="7">
        <v>38.0</v>
      </c>
      <c r="D77" s="7" t="s">
        <v>92</v>
      </c>
      <c r="E77" s="7" t="s">
        <v>58</v>
      </c>
      <c r="F77" s="7" t="s">
        <v>162</v>
      </c>
      <c r="G77" s="7" t="s">
        <v>69</v>
      </c>
      <c r="H77" s="7">
        <v>3.0</v>
      </c>
      <c r="I77" s="7">
        <v>4.0</v>
      </c>
      <c r="J77" s="7" t="s">
        <v>15</v>
      </c>
      <c r="K77" s="7" t="s">
        <v>132</v>
      </c>
      <c r="L77" s="7" t="s">
        <v>10</v>
      </c>
      <c r="M77" s="7" t="s">
        <v>71</v>
      </c>
      <c r="N77" s="7" t="s">
        <v>110</v>
      </c>
      <c r="O77" s="7" t="s">
        <v>304</v>
      </c>
      <c r="P77" s="13">
        <v>0.0</v>
      </c>
      <c r="Q77" s="7"/>
    </row>
    <row r="78" ht="15.75" customHeight="1">
      <c r="A78" s="5" t="s">
        <v>305</v>
      </c>
      <c r="B78" s="5" t="s">
        <v>56</v>
      </c>
      <c r="C78" s="5">
        <v>23.0</v>
      </c>
      <c r="D78" s="5" t="s">
        <v>57</v>
      </c>
      <c r="E78" s="5" t="s">
        <v>58</v>
      </c>
      <c r="F78" s="5" t="s">
        <v>162</v>
      </c>
      <c r="G78" s="5" t="s">
        <v>60</v>
      </c>
      <c r="H78" s="5">
        <v>40.0</v>
      </c>
      <c r="I78" s="5">
        <v>2.0</v>
      </c>
      <c r="J78" s="5" t="s">
        <v>11</v>
      </c>
      <c r="K78" s="5" t="s">
        <v>88</v>
      </c>
      <c r="L78" s="5" t="s">
        <v>10</v>
      </c>
      <c r="M78" s="5" t="s">
        <v>83</v>
      </c>
      <c r="N78" s="5" t="s">
        <v>77</v>
      </c>
      <c r="O78" s="5" t="s">
        <v>306</v>
      </c>
      <c r="P78" s="12">
        <v>0.0</v>
      </c>
      <c r="Q78" s="5"/>
    </row>
    <row r="79" ht="15.75" customHeight="1">
      <c r="A79" s="7" t="s">
        <v>307</v>
      </c>
      <c r="B79" s="7" t="s">
        <v>308</v>
      </c>
      <c r="C79" s="7">
        <v>43.0</v>
      </c>
      <c r="D79" s="7" t="s">
        <v>92</v>
      </c>
      <c r="E79" s="7" t="s">
        <v>58</v>
      </c>
      <c r="F79" s="7" t="s">
        <v>59</v>
      </c>
      <c r="G79" s="7" t="s">
        <v>69</v>
      </c>
      <c r="H79" s="7">
        <v>30.0</v>
      </c>
      <c r="I79" s="7">
        <v>4.0</v>
      </c>
      <c r="J79" s="7" t="s">
        <v>9</v>
      </c>
      <c r="K79" s="7" t="s">
        <v>61</v>
      </c>
      <c r="L79" s="7" t="s">
        <v>12</v>
      </c>
      <c r="M79" s="7" t="s">
        <v>145</v>
      </c>
      <c r="N79" s="7" t="s">
        <v>84</v>
      </c>
      <c r="O79" s="7" t="s">
        <v>309</v>
      </c>
      <c r="P79" s="13">
        <v>2000.0</v>
      </c>
      <c r="Q79" s="7">
        <v>5.0</v>
      </c>
    </row>
    <row r="80" ht="15.75" customHeight="1">
      <c r="A80" s="5" t="s">
        <v>310</v>
      </c>
      <c r="B80" s="5" t="s">
        <v>311</v>
      </c>
      <c r="C80" s="5">
        <v>27.0</v>
      </c>
      <c r="D80" s="5" t="s">
        <v>57</v>
      </c>
      <c r="E80" s="5" t="s">
        <v>67</v>
      </c>
      <c r="F80" s="5" t="s">
        <v>68</v>
      </c>
      <c r="G80" s="5" t="s">
        <v>60</v>
      </c>
      <c r="H80" s="5">
        <v>31.0</v>
      </c>
      <c r="I80" s="5">
        <v>0.0</v>
      </c>
      <c r="J80" s="5" t="s">
        <v>7</v>
      </c>
      <c r="K80" s="5" t="s">
        <v>82</v>
      </c>
      <c r="L80" s="5" t="s">
        <v>10</v>
      </c>
      <c r="M80" s="5" t="s">
        <v>71</v>
      </c>
      <c r="N80" s="5" t="s">
        <v>84</v>
      </c>
      <c r="O80" s="5" t="s">
        <v>312</v>
      </c>
      <c r="P80" s="12">
        <v>800.0</v>
      </c>
      <c r="Q80" s="5">
        <v>4.0</v>
      </c>
    </row>
    <row r="81" ht="15.75" customHeight="1">
      <c r="A81" s="7" t="s">
        <v>313</v>
      </c>
      <c r="B81" s="7" t="s">
        <v>75</v>
      </c>
      <c r="C81" s="7">
        <v>46.0</v>
      </c>
      <c r="D81" s="7" t="s">
        <v>57</v>
      </c>
      <c r="E81" s="7" t="s">
        <v>58</v>
      </c>
      <c r="F81" s="7" t="s">
        <v>59</v>
      </c>
      <c r="G81" s="7" t="s">
        <v>60</v>
      </c>
      <c r="H81" s="7">
        <v>20.0</v>
      </c>
      <c r="I81" s="7">
        <v>1.0</v>
      </c>
      <c r="J81" s="7" t="s">
        <v>15</v>
      </c>
      <c r="K81" s="7" t="s">
        <v>82</v>
      </c>
      <c r="L81" s="7" t="s">
        <v>10</v>
      </c>
      <c r="M81" s="7" t="s">
        <v>62</v>
      </c>
      <c r="N81" s="7" t="s">
        <v>84</v>
      </c>
      <c r="O81" s="7" t="s">
        <v>314</v>
      </c>
      <c r="P81" s="13">
        <v>800.0</v>
      </c>
      <c r="Q81" s="7">
        <v>5.0</v>
      </c>
    </row>
    <row r="82" ht="15.75" customHeight="1">
      <c r="A82" s="5" t="s">
        <v>315</v>
      </c>
      <c r="B82" s="5" t="s">
        <v>244</v>
      </c>
      <c r="C82" s="5">
        <v>27.0</v>
      </c>
      <c r="D82" s="5" t="s">
        <v>57</v>
      </c>
      <c r="E82" s="5" t="s">
        <v>179</v>
      </c>
      <c r="F82" s="5" t="s">
        <v>68</v>
      </c>
      <c r="G82" s="5" t="s">
        <v>60</v>
      </c>
      <c r="H82" s="5">
        <v>30.0</v>
      </c>
      <c r="I82" s="5">
        <v>2.0</v>
      </c>
      <c r="J82" s="5" t="s">
        <v>13</v>
      </c>
      <c r="K82" s="5" t="s">
        <v>128</v>
      </c>
      <c r="L82" s="5" t="s">
        <v>14</v>
      </c>
      <c r="M82" s="5" t="s">
        <v>106</v>
      </c>
      <c r="N82" s="5" t="s">
        <v>77</v>
      </c>
      <c r="O82" s="5" t="s">
        <v>316</v>
      </c>
      <c r="P82" s="12">
        <v>0.0</v>
      </c>
      <c r="Q82" s="5"/>
    </row>
    <row r="83" ht="15.75" customHeight="1">
      <c r="A83" s="7" t="s">
        <v>317</v>
      </c>
      <c r="B83" s="7" t="s">
        <v>148</v>
      </c>
      <c r="C83" s="7">
        <v>27.0</v>
      </c>
      <c r="D83" s="7" t="s">
        <v>57</v>
      </c>
      <c r="E83" s="7" t="s">
        <v>58</v>
      </c>
      <c r="F83" s="7" t="s">
        <v>162</v>
      </c>
      <c r="G83" s="7" t="s">
        <v>60</v>
      </c>
      <c r="H83" s="7">
        <v>3.0</v>
      </c>
      <c r="I83" s="7">
        <v>6.0</v>
      </c>
      <c r="J83" s="7" t="s">
        <v>7</v>
      </c>
      <c r="K83" s="7" t="s">
        <v>88</v>
      </c>
      <c r="L83" s="7" t="s">
        <v>12</v>
      </c>
      <c r="M83" s="7" t="s">
        <v>106</v>
      </c>
      <c r="N83" s="7" t="s">
        <v>152</v>
      </c>
      <c r="O83" s="7" t="s">
        <v>318</v>
      </c>
      <c r="P83" s="13">
        <v>0.0</v>
      </c>
      <c r="Q83" s="7"/>
    </row>
    <row r="84" ht="15.75" customHeight="1">
      <c r="A84" s="5" t="s">
        <v>319</v>
      </c>
      <c r="B84" s="5" t="s">
        <v>320</v>
      </c>
      <c r="C84" s="5">
        <v>50.0</v>
      </c>
      <c r="D84" s="5" t="s">
        <v>57</v>
      </c>
      <c r="E84" s="5" t="s">
        <v>114</v>
      </c>
      <c r="F84" s="5" t="s">
        <v>68</v>
      </c>
      <c r="G84" s="5" t="s">
        <v>60</v>
      </c>
      <c r="H84" s="5">
        <v>19.0</v>
      </c>
      <c r="I84" s="5">
        <v>6.0</v>
      </c>
      <c r="J84" s="5" t="s">
        <v>16</v>
      </c>
      <c r="K84" s="5" t="s">
        <v>166</v>
      </c>
      <c r="L84" s="5" t="s">
        <v>10</v>
      </c>
      <c r="M84" s="5" t="s">
        <v>145</v>
      </c>
      <c r="N84" s="5" t="s">
        <v>84</v>
      </c>
      <c r="O84" s="5" t="s">
        <v>321</v>
      </c>
      <c r="P84" s="12">
        <v>1200.0</v>
      </c>
      <c r="Q84" s="5">
        <v>5.0</v>
      </c>
    </row>
    <row r="85" ht="15.75" customHeight="1">
      <c r="A85" s="7" t="s">
        <v>322</v>
      </c>
      <c r="B85" s="7" t="s">
        <v>323</v>
      </c>
      <c r="C85" s="7">
        <v>48.0</v>
      </c>
      <c r="D85" s="7" t="s">
        <v>57</v>
      </c>
      <c r="E85" s="7" t="s">
        <v>58</v>
      </c>
      <c r="F85" s="7" t="s">
        <v>141</v>
      </c>
      <c r="G85" s="7" t="s">
        <v>60</v>
      </c>
      <c r="H85" s="7">
        <v>33.0</v>
      </c>
      <c r="I85" s="7">
        <v>1.0</v>
      </c>
      <c r="J85" s="7" t="s">
        <v>17</v>
      </c>
      <c r="K85" s="7" t="s">
        <v>132</v>
      </c>
      <c r="L85" s="7" t="s">
        <v>8</v>
      </c>
      <c r="M85" s="7" t="s">
        <v>145</v>
      </c>
      <c r="N85" s="7" t="s">
        <v>110</v>
      </c>
      <c r="O85" s="7" t="s">
        <v>324</v>
      </c>
      <c r="P85" s="13">
        <v>0.0</v>
      </c>
      <c r="Q85" s="7"/>
    </row>
    <row r="86" ht="15.75" customHeight="1">
      <c r="A86" s="5" t="s">
        <v>325</v>
      </c>
      <c r="B86" s="5" t="s">
        <v>326</v>
      </c>
      <c r="C86" s="5">
        <v>42.0</v>
      </c>
      <c r="D86" s="5" t="s">
        <v>57</v>
      </c>
      <c r="E86" s="5" t="s">
        <v>58</v>
      </c>
      <c r="F86" s="5" t="s">
        <v>98</v>
      </c>
      <c r="G86" s="5" t="s">
        <v>60</v>
      </c>
      <c r="H86" s="5">
        <v>14.0</v>
      </c>
      <c r="I86" s="5">
        <v>3.0</v>
      </c>
      <c r="J86" s="5" t="s">
        <v>9</v>
      </c>
      <c r="K86" s="5" t="s">
        <v>102</v>
      </c>
      <c r="L86" s="5" t="s">
        <v>10</v>
      </c>
      <c r="M86" s="5" t="s">
        <v>106</v>
      </c>
      <c r="N86" s="5" t="s">
        <v>110</v>
      </c>
      <c r="O86" s="5" t="s">
        <v>327</v>
      </c>
      <c r="P86" s="12">
        <v>0.0</v>
      </c>
      <c r="Q86" s="5"/>
    </row>
    <row r="87" ht="15.75" customHeight="1">
      <c r="A87" s="7" t="s">
        <v>328</v>
      </c>
      <c r="B87" s="7" t="s">
        <v>329</v>
      </c>
      <c r="C87" s="7">
        <v>31.0</v>
      </c>
      <c r="D87" s="7" t="s">
        <v>57</v>
      </c>
      <c r="E87" s="7" t="s">
        <v>58</v>
      </c>
      <c r="F87" s="7" t="s">
        <v>121</v>
      </c>
      <c r="G87" s="7" t="s">
        <v>69</v>
      </c>
      <c r="H87" s="7">
        <v>43.0</v>
      </c>
      <c r="I87" s="7">
        <v>8.0</v>
      </c>
      <c r="J87" s="7" t="s">
        <v>13</v>
      </c>
      <c r="K87" s="7" t="s">
        <v>94</v>
      </c>
      <c r="L87" s="7" t="s">
        <v>10</v>
      </c>
      <c r="M87" s="7" t="s">
        <v>106</v>
      </c>
      <c r="N87" s="7" t="s">
        <v>72</v>
      </c>
      <c r="O87" s="7" t="s">
        <v>330</v>
      </c>
      <c r="P87" s="13">
        <v>0.0</v>
      </c>
      <c r="Q87" s="7"/>
    </row>
    <row r="88" ht="15.75" customHeight="1">
      <c r="A88" s="5" t="s">
        <v>331</v>
      </c>
      <c r="B88" s="5" t="s">
        <v>332</v>
      </c>
      <c r="C88" s="5">
        <v>34.0</v>
      </c>
      <c r="D88" s="5" t="s">
        <v>92</v>
      </c>
      <c r="E88" s="5" t="s">
        <v>58</v>
      </c>
      <c r="F88" s="5" t="s">
        <v>93</v>
      </c>
      <c r="G88" s="5" t="s">
        <v>60</v>
      </c>
      <c r="H88" s="5">
        <v>3.0</v>
      </c>
      <c r="I88" s="5">
        <v>2.0</v>
      </c>
      <c r="J88" s="5" t="s">
        <v>15</v>
      </c>
      <c r="K88" s="5" t="s">
        <v>102</v>
      </c>
      <c r="L88" s="5" t="s">
        <v>8</v>
      </c>
      <c r="M88" s="5" t="s">
        <v>83</v>
      </c>
      <c r="N88" s="5" t="s">
        <v>84</v>
      </c>
      <c r="O88" s="5" t="s">
        <v>230</v>
      </c>
      <c r="P88" s="12">
        <v>3500.0</v>
      </c>
      <c r="Q88" s="5">
        <v>5.0</v>
      </c>
    </row>
    <row r="89" ht="15.75" customHeight="1">
      <c r="A89" s="7" t="s">
        <v>333</v>
      </c>
      <c r="B89" s="7" t="s">
        <v>198</v>
      </c>
      <c r="C89" s="7">
        <v>23.0</v>
      </c>
      <c r="D89" s="7" t="s">
        <v>57</v>
      </c>
      <c r="E89" s="7" t="s">
        <v>137</v>
      </c>
      <c r="F89" s="7" t="s">
        <v>68</v>
      </c>
      <c r="G89" s="7" t="s">
        <v>69</v>
      </c>
      <c r="H89" s="7">
        <v>29.0</v>
      </c>
      <c r="I89" s="7">
        <v>0.0</v>
      </c>
      <c r="J89" s="7" t="s">
        <v>11</v>
      </c>
      <c r="K89" s="7" t="s">
        <v>61</v>
      </c>
      <c r="L89" s="7" t="s">
        <v>14</v>
      </c>
      <c r="M89" s="7" t="s">
        <v>145</v>
      </c>
      <c r="N89" s="7" t="s">
        <v>84</v>
      </c>
      <c r="O89" s="7" t="s">
        <v>334</v>
      </c>
      <c r="P89" s="13">
        <v>1200.0</v>
      </c>
      <c r="Q89" s="7">
        <v>5.0</v>
      </c>
    </row>
    <row r="90" ht="15.75" customHeight="1">
      <c r="A90" s="5" t="s">
        <v>335</v>
      </c>
      <c r="B90" s="5" t="s">
        <v>336</v>
      </c>
      <c r="C90" s="5">
        <v>36.0</v>
      </c>
      <c r="D90" s="5" t="s">
        <v>92</v>
      </c>
      <c r="E90" s="5" t="s">
        <v>58</v>
      </c>
      <c r="F90" s="5" t="s">
        <v>93</v>
      </c>
      <c r="G90" s="5" t="s">
        <v>60</v>
      </c>
      <c r="H90" s="5">
        <v>17.0</v>
      </c>
      <c r="I90" s="5">
        <v>2.0</v>
      </c>
      <c r="J90" s="5" t="s">
        <v>9</v>
      </c>
      <c r="K90" s="5" t="s">
        <v>61</v>
      </c>
      <c r="L90" s="5" t="s">
        <v>10</v>
      </c>
      <c r="M90" s="5" t="s">
        <v>71</v>
      </c>
      <c r="N90" s="5" t="s">
        <v>152</v>
      </c>
      <c r="O90" s="5" t="s">
        <v>337</v>
      </c>
      <c r="P90" s="12">
        <v>0.0</v>
      </c>
      <c r="Q90" s="5"/>
    </row>
    <row r="91" ht="15.75" customHeight="1">
      <c r="A91" s="7" t="s">
        <v>338</v>
      </c>
      <c r="B91" s="7" t="s">
        <v>339</v>
      </c>
      <c r="C91" s="7">
        <v>33.0</v>
      </c>
      <c r="D91" s="7" t="s">
        <v>57</v>
      </c>
      <c r="E91" s="7" t="s">
        <v>58</v>
      </c>
      <c r="F91" s="7" t="s">
        <v>59</v>
      </c>
      <c r="G91" s="7" t="s">
        <v>60</v>
      </c>
      <c r="H91" s="7">
        <v>16.0</v>
      </c>
      <c r="I91" s="7">
        <v>4.0</v>
      </c>
      <c r="J91" s="7" t="s">
        <v>15</v>
      </c>
      <c r="K91" s="7" t="s">
        <v>132</v>
      </c>
      <c r="L91" s="7" t="s">
        <v>14</v>
      </c>
      <c r="M91" s="7" t="s">
        <v>62</v>
      </c>
      <c r="N91" s="7" t="s">
        <v>77</v>
      </c>
      <c r="O91" s="7" t="s">
        <v>340</v>
      </c>
      <c r="P91" s="13">
        <v>0.0</v>
      </c>
      <c r="Q91" s="7"/>
    </row>
    <row r="92" ht="15.75" customHeight="1">
      <c r="A92" s="5" t="s">
        <v>341</v>
      </c>
      <c r="B92" s="5" t="s">
        <v>342</v>
      </c>
      <c r="C92" s="5">
        <v>32.0</v>
      </c>
      <c r="D92" s="5" t="s">
        <v>57</v>
      </c>
      <c r="E92" s="5" t="s">
        <v>137</v>
      </c>
      <c r="F92" s="5" t="s">
        <v>68</v>
      </c>
      <c r="G92" s="5" t="s">
        <v>60</v>
      </c>
      <c r="H92" s="5">
        <v>45.0</v>
      </c>
      <c r="I92" s="5">
        <v>5.0</v>
      </c>
      <c r="J92" s="5" t="s">
        <v>9</v>
      </c>
      <c r="K92" s="5" t="s">
        <v>128</v>
      </c>
      <c r="L92" s="5" t="s">
        <v>14</v>
      </c>
      <c r="M92" s="5" t="s">
        <v>106</v>
      </c>
      <c r="N92" s="5" t="s">
        <v>84</v>
      </c>
      <c r="O92" s="5" t="s">
        <v>343</v>
      </c>
      <c r="P92" s="12">
        <v>2000.0</v>
      </c>
      <c r="Q92" s="5">
        <v>4.0</v>
      </c>
    </row>
    <row r="93" ht="15.75" customHeight="1">
      <c r="A93" s="7" t="s">
        <v>344</v>
      </c>
      <c r="B93" s="7" t="s">
        <v>345</v>
      </c>
      <c r="C93" s="7">
        <v>47.0</v>
      </c>
      <c r="D93" s="7" t="s">
        <v>92</v>
      </c>
      <c r="E93" s="7" t="s">
        <v>58</v>
      </c>
      <c r="F93" s="7" t="s">
        <v>93</v>
      </c>
      <c r="G93" s="7" t="s">
        <v>69</v>
      </c>
      <c r="H93" s="7">
        <v>30.0</v>
      </c>
      <c r="I93" s="7">
        <v>3.0</v>
      </c>
      <c r="J93" s="7" t="s">
        <v>9</v>
      </c>
      <c r="K93" s="7" t="s">
        <v>132</v>
      </c>
      <c r="L93" s="7" t="s">
        <v>14</v>
      </c>
      <c r="M93" s="7" t="s">
        <v>106</v>
      </c>
      <c r="N93" s="7" t="s">
        <v>152</v>
      </c>
      <c r="O93" s="7" t="s">
        <v>346</v>
      </c>
      <c r="P93" s="13">
        <v>0.0</v>
      </c>
      <c r="Q93" s="7"/>
    </row>
    <row r="94" ht="15.75" customHeight="1">
      <c r="A94" s="5" t="s">
        <v>347</v>
      </c>
      <c r="B94" s="5" t="s">
        <v>348</v>
      </c>
      <c r="C94" s="5">
        <v>30.0</v>
      </c>
      <c r="D94" s="5" t="s">
        <v>92</v>
      </c>
      <c r="E94" s="5" t="s">
        <v>58</v>
      </c>
      <c r="F94" s="5" t="s">
        <v>59</v>
      </c>
      <c r="G94" s="5" t="s">
        <v>60</v>
      </c>
      <c r="H94" s="5">
        <v>8.0</v>
      </c>
      <c r="I94" s="5">
        <v>2.0</v>
      </c>
      <c r="J94" s="5" t="s">
        <v>13</v>
      </c>
      <c r="K94" s="5" t="s">
        <v>94</v>
      </c>
      <c r="L94" s="5" t="s">
        <v>12</v>
      </c>
      <c r="M94" s="5" t="s">
        <v>83</v>
      </c>
      <c r="N94" s="5" t="s">
        <v>77</v>
      </c>
      <c r="O94" s="5" t="s">
        <v>349</v>
      </c>
      <c r="P94" s="12">
        <v>0.0</v>
      </c>
      <c r="Q94" s="5"/>
    </row>
    <row r="95" ht="15.75" customHeight="1">
      <c r="A95" s="7" t="s">
        <v>350</v>
      </c>
      <c r="B95" s="7" t="s">
        <v>351</v>
      </c>
      <c r="C95" s="7">
        <v>20.0</v>
      </c>
      <c r="D95" s="7" t="s">
        <v>57</v>
      </c>
      <c r="E95" s="7" t="s">
        <v>58</v>
      </c>
      <c r="F95" s="7" t="s">
        <v>121</v>
      </c>
      <c r="G95" s="7" t="s">
        <v>69</v>
      </c>
      <c r="H95" s="7">
        <v>30.0</v>
      </c>
      <c r="I95" s="7">
        <v>1.0</v>
      </c>
      <c r="J95" s="7" t="s">
        <v>16</v>
      </c>
      <c r="K95" s="7" t="s">
        <v>61</v>
      </c>
      <c r="L95" s="7" t="s">
        <v>8</v>
      </c>
      <c r="M95" s="7" t="s">
        <v>71</v>
      </c>
      <c r="N95" s="7" t="s">
        <v>84</v>
      </c>
      <c r="O95" s="7" t="s">
        <v>352</v>
      </c>
      <c r="P95" s="13">
        <v>2000.0</v>
      </c>
      <c r="Q95" s="7">
        <v>4.0</v>
      </c>
    </row>
    <row r="96" ht="15.75" customHeight="1">
      <c r="A96" s="5" t="s">
        <v>353</v>
      </c>
      <c r="B96" s="5" t="s">
        <v>101</v>
      </c>
      <c r="C96" s="5">
        <v>25.0</v>
      </c>
      <c r="D96" s="5" t="s">
        <v>92</v>
      </c>
      <c r="E96" s="5" t="s">
        <v>58</v>
      </c>
      <c r="F96" s="5" t="s">
        <v>76</v>
      </c>
      <c r="G96" s="5" t="s">
        <v>60</v>
      </c>
      <c r="H96" s="5">
        <v>17.0</v>
      </c>
      <c r="I96" s="5">
        <v>3.0</v>
      </c>
      <c r="J96" s="5" t="s">
        <v>7</v>
      </c>
      <c r="K96" s="5" t="s">
        <v>82</v>
      </c>
      <c r="L96" s="5" t="s">
        <v>10</v>
      </c>
      <c r="M96" s="5" t="s">
        <v>83</v>
      </c>
      <c r="N96" s="5" t="s">
        <v>63</v>
      </c>
      <c r="O96" s="5" t="s">
        <v>354</v>
      </c>
      <c r="P96" s="12">
        <v>0.0</v>
      </c>
      <c r="Q96" s="5"/>
    </row>
    <row r="97" ht="15.75" customHeight="1">
      <c r="A97" s="7" t="s">
        <v>355</v>
      </c>
      <c r="B97" s="7" t="s">
        <v>356</v>
      </c>
      <c r="C97" s="7">
        <v>23.0</v>
      </c>
      <c r="D97" s="7" t="s">
        <v>92</v>
      </c>
      <c r="E97" s="7" t="s">
        <v>58</v>
      </c>
      <c r="F97" s="7" t="s">
        <v>162</v>
      </c>
      <c r="G97" s="7" t="s">
        <v>60</v>
      </c>
      <c r="H97" s="7">
        <v>34.0</v>
      </c>
      <c r="I97" s="7">
        <v>7.0</v>
      </c>
      <c r="J97" s="7" t="s">
        <v>16</v>
      </c>
      <c r="K97" s="7" t="s">
        <v>82</v>
      </c>
      <c r="L97" s="7" t="s">
        <v>12</v>
      </c>
      <c r="M97" s="7" t="s">
        <v>145</v>
      </c>
      <c r="N97" s="7" t="s">
        <v>152</v>
      </c>
      <c r="O97" s="7" t="s">
        <v>357</v>
      </c>
      <c r="P97" s="13">
        <v>0.0</v>
      </c>
      <c r="Q97" s="7"/>
    </row>
    <row r="98" ht="15.75" customHeight="1">
      <c r="A98" s="5" t="s">
        <v>358</v>
      </c>
      <c r="B98" s="5" t="s">
        <v>97</v>
      </c>
      <c r="C98" s="5">
        <v>33.0</v>
      </c>
      <c r="D98" s="5" t="s">
        <v>92</v>
      </c>
      <c r="E98" s="5" t="s">
        <v>58</v>
      </c>
      <c r="F98" s="5" t="s">
        <v>162</v>
      </c>
      <c r="G98" s="5" t="s">
        <v>60</v>
      </c>
      <c r="H98" s="5">
        <v>14.0</v>
      </c>
      <c r="I98" s="5">
        <v>2.0</v>
      </c>
      <c r="J98" s="5" t="s">
        <v>9</v>
      </c>
      <c r="K98" s="5" t="s">
        <v>61</v>
      </c>
      <c r="L98" s="5" t="s">
        <v>14</v>
      </c>
      <c r="M98" s="5" t="s">
        <v>106</v>
      </c>
      <c r="N98" s="5" t="s">
        <v>152</v>
      </c>
      <c r="O98" s="5" t="s">
        <v>359</v>
      </c>
      <c r="P98" s="12">
        <v>0.0</v>
      </c>
      <c r="Q98" s="5"/>
    </row>
    <row r="99" ht="15.75" customHeight="1">
      <c r="A99" s="7" t="s">
        <v>360</v>
      </c>
      <c r="B99" s="7" t="s">
        <v>361</v>
      </c>
      <c r="C99" s="7">
        <v>24.0</v>
      </c>
      <c r="D99" s="7" t="s">
        <v>57</v>
      </c>
      <c r="E99" s="7" t="s">
        <v>58</v>
      </c>
      <c r="F99" s="7" t="s">
        <v>76</v>
      </c>
      <c r="G99" s="7" t="s">
        <v>60</v>
      </c>
      <c r="H99" s="7">
        <v>11.0</v>
      </c>
      <c r="I99" s="7">
        <v>2.0</v>
      </c>
      <c r="J99" s="7" t="s">
        <v>18</v>
      </c>
      <c r="K99" s="7" t="s">
        <v>132</v>
      </c>
      <c r="L99" s="7" t="s">
        <v>14</v>
      </c>
      <c r="M99" s="7" t="s">
        <v>145</v>
      </c>
      <c r="N99" s="7" t="s">
        <v>77</v>
      </c>
      <c r="O99" s="7" t="s">
        <v>362</v>
      </c>
      <c r="P99" s="13">
        <v>0.0</v>
      </c>
      <c r="Q99" s="7"/>
    </row>
    <row r="100" ht="15.75" customHeight="1">
      <c r="A100" s="5" t="s">
        <v>363</v>
      </c>
      <c r="B100" s="5" t="s">
        <v>364</v>
      </c>
      <c r="C100" s="5">
        <v>37.0</v>
      </c>
      <c r="D100" s="5" t="s">
        <v>92</v>
      </c>
      <c r="E100" s="5" t="s">
        <v>67</v>
      </c>
      <c r="F100" s="5" t="s">
        <v>68</v>
      </c>
      <c r="G100" s="5" t="s">
        <v>60</v>
      </c>
      <c r="H100" s="5">
        <v>34.0</v>
      </c>
      <c r="I100" s="5">
        <v>5.0</v>
      </c>
      <c r="J100" s="5" t="s">
        <v>7</v>
      </c>
      <c r="K100" s="5" t="s">
        <v>132</v>
      </c>
      <c r="L100" s="5" t="s">
        <v>12</v>
      </c>
      <c r="M100" s="5" t="s">
        <v>106</v>
      </c>
      <c r="N100" s="5" t="s">
        <v>110</v>
      </c>
      <c r="O100" s="5" t="s">
        <v>365</v>
      </c>
      <c r="P100" s="12">
        <v>0.0</v>
      </c>
      <c r="Q100" s="5"/>
    </row>
    <row r="101" ht="15.75" customHeight="1">
      <c r="A101" s="7" t="s">
        <v>366</v>
      </c>
      <c r="B101" s="7" t="s">
        <v>367</v>
      </c>
      <c r="C101" s="7">
        <v>42.0</v>
      </c>
      <c r="D101" s="7" t="s">
        <v>57</v>
      </c>
      <c r="E101" s="7" t="s">
        <v>58</v>
      </c>
      <c r="F101" s="7" t="s">
        <v>98</v>
      </c>
      <c r="G101" s="7" t="s">
        <v>60</v>
      </c>
      <c r="H101" s="7">
        <v>44.0</v>
      </c>
      <c r="I101" s="7">
        <v>3.0</v>
      </c>
      <c r="J101" s="7" t="s">
        <v>11</v>
      </c>
      <c r="K101" s="7" t="s">
        <v>102</v>
      </c>
      <c r="L101" s="7" t="s">
        <v>8</v>
      </c>
      <c r="M101" s="7" t="s">
        <v>62</v>
      </c>
      <c r="N101" s="7" t="s">
        <v>77</v>
      </c>
      <c r="O101" s="7" t="s">
        <v>368</v>
      </c>
      <c r="P101" s="13">
        <v>0.0</v>
      </c>
      <c r="Q101" s="7"/>
    </row>
    <row r="102" ht="15.75" customHeight="1">
      <c r="A102" s="5" t="s">
        <v>369</v>
      </c>
      <c r="B102" s="5" t="s">
        <v>345</v>
      </c>
      <c r="C102" s="5">
        <v>31.0</v>
      </c>
      <c r="D102" s="5" t="s">
        <v>92</v>
      </c>
      <c r="E102" s="5" t="s">
        <v>137</v>
      </c>
      <c r="F102" s="5" t="s">
        <v>68</v>
      </c>
      <c r="G102" s="5" t="s">
        <v>60</v>
      </c>
      <c r="H102" s="5">
        <v>36.0</v>
      </c>
      <c r="I102" s="5">
        <v>8.0</v>
      </c>
      <c r="J102" s="5" t="s">
        <v>7</v>
      </c>
      <c r="K102" s="5" t="s">
        <v>88</v>
      </c>
      <c r="L102" s="5" t="s">
        <v>8</v>
      </c>
      <c r="M102" s="5" t="s">
        <v>71</v>
      </c>
      <c r="N102" s="5" t="s">
        <v>84</v>
      </c>
      <c r="O102" s="5" t="s">
        <v>370</v>
      </c>
      <c r="P102" s="12">
        <v>1200.0</v>
      </c>
      <c r="Q102" s="5">
        <v>5.0</v>
      </c>
    </row>
    <row r="103" ht="15.75" customHeight="1">
      <c r="A103" s="7" t="s">
        <v>371</v>
      </c>
      <c r="B103" s="7" t="s">
        <v>372</v>
      </c>
      <c r="C103" s="7">
        <v>28.0</v>
      </c>
      <c r="D103" s="7" t="s">
        <v>92</v>
      </c>
      <c r="E103" s="7" t="s">
        <v>179</v>
      </c>
      <c r="F103" s="7" t="s">
        <v>68</v>
      </c>
      <c r="G103" s="7" t="s">
        <v>60</v>
      </c>
      <c r="H103" s="7">
        <v>44.0</v>
      </c>
      <c r="I103" s="7">
        <v>3.0</v>
      </c>
      <c r="J103" s="7" t="s">
        <v>18</v>
      </c>
      <c r="K103" s="7" t="s">
        <v>82</v>
      </c>
      <c r="L103" s="7" t="s">
        <v>14</v>
      </c>
      <c r="M103" s="7" t="s">
        <v>83</v>
      </c>
      <c r="N103" s="7" t="s">
        <v>77</v>
      </c>
      <c r="O103" s="7" t="s">
        <v>373</v>
      </c>
      <c r="P103" s="13">
        <v>0.0</v>
      </c>
      <c r="Q103" s="7"/>
    </row>
    <row r="104" ht="15.75" customHeight="1">
      <c r="A104" s="5" t="s">
        <v>374</v>
      </c>
      <c r="B104" s="5" t="s">
        <v>375</v>
      </c>
      <c r="C104" s="5">
        <v>23.0</v>
      </c>
      <c r="D104" s="5" t="s">
        <v>92</v>
      </c>
      <c r="E104" s="5" t="s">
        <v>58</v>
      </c>
      <c r="F104" s="5" t="s">
        <v>76</v>
      </c>
      <c r="G104" s="5" t="s">
        <v>60</v>
      </c>
      <c r="H104" s="5">
        <v>37.0</v>
      </c>
      <c r="I104" s="5">
        <v>7.0</v>
      </c>
      <c r="J104" s="5" t="s">
        <v>7</v>
      </c>
      <c r="K104" s="5" t="s">
        <v>94</v>
      </c>
      <c r="L104" s="5" t="s">
        <v>14</v>
      </c>
      <c r="M104" s="5" t="s">
        <v>83</v>
      </c>
      <c r="N104" s="5" t="s">
        <v>84</v>
      </c>
      <c r="O104" s="5" t="s">
        <v>376</v>
      </c>
      <c r="P104" s="12">
        <v>3500.0</v>
      </c>
      <c r="Q104" s="5">
        <v>5.0</v>
      </c>
    </row>
    <row r="105" ht="15.75" customHeight="1">
      <c r="A105" s="7" t="s">
        <v>377</v>
      </c>
      <c r="B105" s="7" t="s">
        <v>378</v>
      </c>
      <c r="C105" s="7">
        <v>48.0</v>
      </c>
      <c r="D105" s="7" t="s">
        <v>92</v>
      </c>
      <c r="E105" s="7" t="s">
        <v>58</v>
      </c>
      <c r="F105" s="7" t="s">
        <v>93</v>
      </c>
      <c r="G105" s="7" t="s">
        <v>60</v>
      </c>
      <c r="H105" s="7">
        <v>44.0</v>
      </c>
      <c r="I105" s="7">
        <v>6.0</v>
      </c>
      <c r="J105" s="7" t="s">
        <v>7</v>
      </c>
      <c r="K105" s="7" t="s">
        <v>94</v>
      </c>
      <c r="L105" s="7" t="s">
        <v>14</v>
      </c>
      <c r="M105" s="7" t="s">
        <v>62</v>
      </c>
      <c r="N105" s="7" t="s">
        <v>72</v>
      </c>
      <c r="O105" s="7" t="s">
        <v>379</v>
      </c>
      <c r="P105" s="13">
        <v>0.0</v>
      </c>
      <c r="Q105" s="7"/>
    </row>
    <row r="106" ht="15.75" customHeight="1">
      <c r="A106" s="5" t="s">
        <v>380</v>
      </c>
      <c r="B106" s="5" t="s">
        <v>381</v>
      </c>
      <c r="C106" s="5">
        <v>46.0</v>
      </c>
      <c r="D106" s="5" t="s">
        <v>57</v>
      </c>
      <c r="E106" s="5" t="s">
        <v>58</v>
      </c>
      <c r="F106" s="5" t="s">
        <v>81</v>
      </c>
      <c r="G106" s="5" t="s">
        <v>69</v>
      </c>
      <c r="H106" s="5">
        <v>16.0</v>
      </c>
      <c r="I106" s="5">
        <v>6.0</v>
      </c>
      <c r="J106" s="5" t="s">
        <v>13</v>
      </c>
      <c r="K106" s="5" t="s">
        <v>128</v>
      </c>
      <c r="L106" s="5" t="s">
        <v>10</v>
      </c>
      <c r="M106" s="5" t="s">
        <v>71</v>
      </c>
      <c r="N106" s="5" t="s">
        <v>152</v>
      </c>
      <c r="O106" s="5" t="s">
        <v>382</v>
      </c>
      <c r="P106" s="12">
        <v>0.0</v>
      </c>
      <c r="Q106" s="5"/>
    </row>
    <row r="107" ht="15.75" customHeight="1">
      <c r="A107" s="7" t="s">
        <v>383</v>
      </c>
      <c r="B107" s="7" t="s">
        <v>384</v>
      </c>
      <c r="C107" s="7">
        <v>30.0</v>
      </c>
      <c r="D107" s="7" t="s">
        <v>92</v>
      </c>
      <c r="E107" s="7" t="s">
        <v>58</v>
      </c>
      <c r="F107" s="7" t="s">
        <v>141</v>
      </c>
      <c r="G107" s="7" t="s">
        <v>69</v>
      </c>
      <c r="H107" s="7">
        <v>25.0</v>
      </c>
      <c r="I107" s="7">
        <v>5.0</v>
      </c>
      <c r="J107" s="7" t="s">
        <v>13</v>
      </c>
      <c r="K107" s="7" t="s">
        <v>61</v>
      </c>
      <c r="L107" s="7" t="s">
        <v>12</v>
      </c>
      <c r="M107" s="7" t="s">
        <v>62</v>
      </c>
      <c r="N107" s="7" t="s">
        <v>110</v>
      </c>
      <c r="O107" s="7" t="s">
        <v>385</v>
      </c>
      <c r="P107" s="13">
        <v>0.0</v>
      </c>
      <c r="Q107" s="7"/>
    </row>
    <row r="108" ht="15.75" customHeight="1">
      <c r="A108" s="5" t="s">
        <v>386</v>
      </c>
      <c r="B108" s="5" t="s">
        <v>387</v>
      </c>
      <c r="C108" s="5">
        <v>37.0</v>
      </c>
      <c r="D108" s="5" t="s">
        <v>92</v>
      </c>
      <c r="E108" s="5" t="s">
        <v>58</v>
      </c>
      <c r="F108" s="5" t="s">
        <v>93</v>
      </c>
      <c r="G108" s="5" t="s">
        <v>69</v>
      </c>
      <c r="H108" s="5">
        <v>25.0</v>
      </c>
      <c r="I108" s="5">
        <v>6.0</v>
      </c>
      <c r="J108" s="5" t="s">
        <v>16</v>
      </c>
      <c r="K108" s="5" t="s">
        <v>102</v>
      </c>
      <c r="L108" s="5" t="s">
        <v>12</v>
      </c>
      <c r="M108" s="5" t="s">
        <v>106</v>
      </c>
      <c r="N108" s="5" t="s">
        <v>110</v>
      </c>
      <c r="O108" s="5" t="s">
        <v>388</v>
      </c>
      <c r="P108" s="12">
        <v>0.0</v>
      </c>
      <c r="Q108" s="5"/>
    </row>
    <row r="109" ht="15.75" customHeight="1">
      <c r="A109" s="7" t="s">
        <v>389</v>
      </c>
      <c r="B109" s="7" t="s">
        <v>140</v>
      </c>
      <c r="C109" s="7">
        <v>23.0</v>
      </c>
      <c r="D109" s="7" t="s">
        <v>92</v>
      </c>
      <c r="E109" s="7" t="s">
        <v>179</v>
      </c>
      <c r="F109" s="7" t="s">
        <v>68</v>
      </c>
      <c r="G109" s="7" t="s">
        <v>69</v>
      </c>
      <c r="H109" s="7">
        <v>33.0</v>
      </c>
      <c r="I109" s="7">
        <v>3.0</v>
      </c>
      <c r="J109" s="7" t="s">
        <v>7</v>
      </c>
      <c r="K109" s="7" t="s">
        <v>70</v>
      </c>
      <c r="L109" s="7" t="s">
        <v>8</v>
      </c>
      <c r="M109" s="7" t="s">
        <v>62</v>
      </c>
      <c r="N109" s="7" t="s">
        <v>77</v>
      </c>
      <c r="O109" s="7" t="s">
        <v>390</v>
      </c>
      <c r="P109" s="13">
        <v>0.0</v>
      </c>
      <c r="Q109" s="7"/>
    </row>
    <row r="110" ht="15.75" customHeight="1">
      <c r="A110" s="5" t="s">
        <v>391</v>
      </c>
      <c r="B110" s="5" t="s">
        <v>392</v>
      </c>
      <c r="C110" s="5">
        <v>35.0</v>
      </c>
      <c r="D110" s="5" t="s">
        <v>57</v>
      </c>
      <c r="E110" s="5" t="s">
        <v>58</v>
      </c>
      <c r="F110" s="5" t="s">
        <v>59</v>
      </c>
      <c r="G110" s="5" t="s">
        <v>69</v>
      </c>
      <c r="H110" s="5">
        <v>42.0</v>
      </c>
      <c r="I110" s="5">
        <v>3.0</v>
      </c>
      <c r="J110" s="5" t="s">
        <v>11</v>
      </c>
      <c r="K110" s="5" t="s">
        <v>166</v>
      </c>
      <c r="L110" s="5" t="s">
        <v>12</v>
      </c>
      <c r="M110" s="5" t="s">
        <v>83</v>
      </c>
      <c r="N110" s="5" t="s">
        <v>84</v>
      </c>
      <c r="O110" s="5" t="s">
        <v>393</v>
      </c>
      <c r="P110" s="12">
        <v>2000.0</v>
      </c>
      <c r="Q110" s="5">
        <v>5.0</v>
      </c>
    </row>
    <row r="111" ht="15.75" customHeight="1">
      <c r="A111" s="7" t="s">
        <v>394</v>
      </c>
      <c r="B111" s="7" t="s">
        <v>395</v>
      </c>
      <c r="C111" s="7">
        <v>26.0</v>
      </c>
      <c r="D111" s="7" t="s">
        <v>57</v>
      </c>
      <c r="E111" s="7" t="s">
        <v>58</v>
      </c>
      <c r="F111" s="7" t="s">
        <v>141</v>
      </c>
      <c r="G111" s="7" t="s">
        <v>60</v>
      </c>
      <c r="H111" s="7">
        <v>8.0</v>
      </c>
      <c r="I111" s="7">
        <v>5.0</v>
      </c>
      <c r="J111" s="7" t="s">
        <v>13</v>
      </c>
      <c r="K111" s="7" t="s">
        <v>94</v>
      </c>
      <c r="L111" s="7" t="s">
        <v>8</v>
      </c>
      <c r="M111" s="7" t="s">
        <v>71</v>
      </c>
      <c r="N111" s="7" t="s">
        <v>63</v>
      </c>
      <c r="O111" s="7" t="s">
        <v>396</v>
      </c>
      <c r="P111" s="13">
        <v>0.0</v>
      </c>
      <c r="Q111" s="7"/>
    </row>
    <row r="112" ht="15.75" customHeight="1">
      <c r="A112" s="5" t="s">
        <v>397</v>
      </c>
      <c r="B112" s="5" t="s">
        <v>398</v>
      </c>
      <c r="C112" s="5">
        <v>41.0</v>
      </c>
      <c r="D112" s="5" t="s">
        <v>57</v>
      </c>
      <c r="E112" s="5" t="s">
        <v>58</v>
      </c>
      <c r="F112" s="5" t="s">
        <v>81</v>
      </c>
      <c r="G112" s="5" t="s">
        <v>69</v>
      </c>
      <c r="H112" s="5">
        <v>10.0</v>
      </c>
      <c r="I112" s="5">
        <v>5.0</v>
      </c>
      <c r="J112" s="5" t="s">
        <v>15</v>
      </c>
      <c r="K112" s="5" t="s">
        <v>82</v>
      </c>
      <c r="L112" s="5" t="s">
        <v>10</v>
      </c>
      <c r="M112" s="5" t="s">
        <v>71</v>
      </c>
      <c r="N112" s="5" t="s">
        <v>72</v>
      </c>
      <c r="O112" s="5" t="s">
        <v>399</v>
      </c>
      <c r="P112" s="12">
        <v>0.0</v>
      </c>
      <c r="Q112" s="5"/>
    </row>
    <row r="113" ht="15.75" customHeight="1">
      <c r="A113" s="7" t="s">
        <v>400</v>
      </c>
      <c r="B113" s="7" t="s">
        <v>401</v>
      </c>
      <c r="C113" s="7">
        <v>43.0</v>
      </c>
      <c r="D113" s="7" t="s">
        <v>92</v>
      </c>
      <c r="E113" s="7" t="s">
        <v>137</v>
      </c>
      <c r="F113" s="7" t="s">
        <v>68</v>
      </c>
      <c r="G113" s="7" t="s">
        <v>69</v>
      </c>
      <c r="H113" s="7">
        <v>44.0</v>
      </c>
      <c r="I113" s="7">
        <v>8.0</v>
      </c>
      <c r="J113" s="7" t="s">
        <v>17</v>
      </c>
      <c r="K113" s="7" t="s">
        <v>166</v>
      </c>
      <c r="L113" s="7" t="s">
        <v>8</v>
      </c>
      <c r="M113" s="7" t="s">
        <v>62</v>
      </c>
      <c r="N113" s="7" t="s">
        <v>77</v>
      </c>
      <c r="O113" s="7" t="s">
        <v>402</v>
      </c>
      <c r="P113" s="13">
        <v>0.0</v>
      </c>
      <c r="Q113" s="7"/>
    </row>
    <row r="114" ht="15.75" customHeight="1">
      <c r="A114" s="5" t="s">
        <v>403</v>
      </c>
      <c r="B114" s="5" t="s">
        <v>404</v>
      </c>
      <c r="C114" s="5">
        <v>26.0</v>
      </c>
      <c r="D114" s="5" t="s">
        <v>57</v>
      </c>
      <c r="E114" s="5" t="s">
        <v>179</v>
      </c>
      <c r="F114" s="5" t="s">
        <v>68</v>
      </c>
      <c r="G114" s="5" t="s">
        <v>69</v>
      </c>
      <c r="H114" s="5">
        <v>42.0</v>
      </c>
      <c r="I114" s="5">
        <v>0.0</v>
      </c>
      <c r="J114" s="5" t="s">
        <v>15</v>
      </c>
      <c r="K114" s="5" t="s">
        <v>61</v>
      </c>
      <c r="L114" s="5" t="s">
        <v>10</v>
      </c>
      <c r="M114" s="5" t="s">
        <v>145</v>
      </c>
      <c r="N114" s="5" t="s">
        <v>110</v>
      </c>
      <c r="O114" s="5" t="s">
        <v>405</v>
      </c>
      <c r="P114" s="12">
        <v>0.0</v>
      </c>
      <c r="Q114" s="5"/>
    </row>
    <row r="115" ht="15.75" customHeight="1">
      <c r="A115" s="7" t="s">
        <v>406</v>
      </c>
      <c r="B115" s="7" t="s">
        <v>407</v>
      </c>
      <c r="C115" s="7">
        <v>47.0</v>
      </c>
      <c r="D115" s="7" t="s">
        <v>92</v>
      </c>
      <c r="E115" s="7" t="s">
        <v>58</v>
      </c>
      <c r="F115" s="7" t="s">
        <v>121</v>
      </c>
      <c r="G115" s="7" t="s">
        <v>60</v>
      </c>
      <c r="H115" s="7">
        <v>3.0</v>
      </c>
      <c r="I115" s="7">
        <v>6.0</v>
      </c>
      <c r="J115" s="7" t="s">
        <v>9</v>
      </c>
      <c r="K115" s="7" t="s">
        <v>61</v>
      </c>
      <c r="L115" s="7" t="s">
        <v>10</v>
      </c>
      <c r="M115" s="7" t="s">
        <v>145</v>
      </c>
      <c r="N115" s="7" t="s">
        <v>63</v>
      </c>
      <c r="O115" s="7" t="s">
        <v>408</v>
      </c>
      <c r="P115" s="13">
        <v>0.0</v>
      </c>
      <c r="Q115" s="7"/>
    </row>
    <row r="116" ht="15.75" customHeight="1">
      <c r="A116" s="5" t="s">
        <v>409</v>
      </c>
      <c r="B116" s="5" t="s">
        <v>410</v>
      </c>
      <c r="C116" s="5">
        <v>26.0</v>
      </c>
      <c r="D116" s="5" t="s">
        <v>92</v>
      </c>
      <c r="E116" s="5" t="s">
        <v>67</v>
      </c>
      <c r="F116" s="5" t="s">
        <v>68</v>
      </c>
      <c r="G116" s="5" t="s">
        <v>60</v>
      </c>
      <c r="H116" s="5">
        <v>42.0</v>
      </c>
      <c r="I116" s="5">
        <v>3.0</v>
      </c>
      <c r="J116" s="5" t="s">
        <v>9</v>
      </c>
      <c r="K116" s="5" t="s">
        <v>102</v>
      </c>
      <c r="L116" s="5" t="s">
        <v>14</v>
      </c>
      <c r="M116" s="5" t="s">
        <v>62</v>
      </c>
      <c r="N116" s="5" t="s">
        <v>72</v>
      </c>
      <c r="O116" s="5" t="s">
        <v>411</v>
      </c>
      <c r="P116" s="12">
        <v>0.0</v>
      </c>
      <c r="Q116" s="5"/>
    </row>
    <row r="117" ht="15.75" customHeight="1">
      <c r="A117" s="7" t="s">
        <v>412</v>
      </c>
      <c r="B117" s="7" t="s">
        <v>413</v>
      </c>
      <c r="C117" s="7">
        <v>50.0</v>
      </c>
      <c r="D117" s="7" t="s">
        <v>57</v>
      </c>
      <c r="E117" s="7" t="s">
        <v>58</v>
      </c>
      <c r="F117" s="7" t="s">
        <v>141</v>
      </c>
      <c r="G117" s="7" t="s">
        <v>60</v>
      </c>
      <c r="H117" s="7">
        <v>38.0</v>
      </c>
      <c r="I117" s="7">
        <v>2.0</v>
      </c>
      <c r="J117" s="7" t="s">
        <v>18</v>
      </c>
      <c r="K117" s="7" t="s">
        <v>128</v>
      </c>
      <c r="L117" s="7" t="s">
        <v>12</v>
      </c>
      <c r="M117" s="7" t="s">
        <v>145</v>
      </c>
      <c r="N117" s="7" t="s">
        <v>63</v>
      </c>
      <c r="O117" s="7" t="s">
        <v>414</v>
      </c>
      <c r="P117" s="13">
        <v>0.0</v>
      </c>
      <c r="Q117" s="7"/>
    </row>
    <row r="118" ht="15.75" customHeight="1">
      <c r="A118" s="5" t="s">
        <v>415</v>
      </c>
      <c r="B118" s="5" t="s">
        <v>416</v>
      </c>
      <c r="C118" s="5">
        <v>37.0</v>
      </c>
      <c r="D118" s="5" t="s">
        <v>92</v>
      </c>
      <c r="E118" s="5" t="s">
        <v>58</v>
      </c>
      <c r="F118" s="5" t="s">
        <v>121</v>
      </c>
      <c r="G118" s="5" t="s">
        <v>60</v>
      </c>
      <c r="H118" s="5">
        <v>24.0</v>
      </c>
      <c r="I118" s="5">
        <v>1.0</v>
      </c>
      <c r="J118" s="5" t="s">
        <v>13</v>
      </c>
      <c r="K118" s="5" t="s">
        <v>94</v>
      </c>
      <c r="L118" s="5" t="s">
        <v>12</v>
      </c>
      <c r="M118" s="5" t="s">
        <v>83</v>
      </c>
      <c r="N118" s="5" t="s">
        <v>84</v>
      </c>
      <c r="O118" s="5" t="s">
        <v>417</v>
      </c>
      <c r="P118" s="12">
        <v>500.0</v>
      </c>
      <c r="Q118" s="5">
        <v>4.0</v>
      </c>
    </row>
    <row r="119" ht="15.75" customHeight="1">
      <c r="A119" s="7" t="s">
        <v>418</v>
      </c>
      <c r="B119" s="7" t="s">
        <v>419</v>
      </c>
      <c r="C119" s="7">
        <v>25.0</v>
      </c>
      <c r="D119" s="7" t="s">
        <v>57</v>
      </c>
      <c r="E119" s="7" t="s">
        <v>179</v>
      </c>
      <c r="F119" s="7" t="s">
        <v>68</v>
      </c>
      <c r="G119" s="7" t="s">
        <v>69</v>
      </c>
      <c r="H119" s="7">
        <v>26.0</v>
      </c>
      <c r="I119" s="7">
        <v>1.0</v>
      </c>
      <c r="J119" s="7" t="s">
        <v>17</v>
      </c>
      <c r="K119" s="7" t="s">
        <v>94</v>
      </c>
      <c r="L119" s="7" t="s">
        <v>14</v>
      </c>
      <c r="M119" s="7" t="s">
        <v>71</v>
      </c>
      <c r="N119" s="7" t="s">
        <v>110</v>
      </c>
      <c r="O119" s="7" t="s">
        <v>420</v>
      </c>
      <c r="P119" s="13">
        <v>0.0</v>
      </c>
      <c r="Q119" s="7"/>
    </row>
    <row r="120" ht="15.75" customHeight="1">
      <c r="A120" s="5" t="s">
        <v>421</v>
      </c>
      <c r="B120" s="5" t="s">
        <v>395</v>
      </c>
      <c r="C120" s="5">
        <v>39.0</v>
      </c>
      <c r="D120" s="5" t="s">
        <v>57</v>
      </c>
      <c r="E120" s="5" t="s">
        <v>58</v>
      </c>
      <c r="F120" s="5" t="s">
        <v>98</v>
      </c>
      <c r="G120" s="5" t="s">
        <v>60</v>
      </c>
      <c r="H120" s="5">
        <v>14.0</v>
      </c>
      <c r="I120" s="5">
        <v>7.0</v>
      </c>
      <c r="J120" s="5" t="s">
        <v>17</v>
      </c>
      <c r="K120" s="5" t="s">
        <v>61</v>
      </c>
      <c r="L120" s="5" t="s">
        <v>14</v>
      </c>
      <c r="M120" s="5" t="s">
        <v>106</v>
      </c>
      <c r="N120" s="5" t="s">
        <v>110</v>
      </c>
      <c r="O120" s="5" t="s">
        <v>422</v>
      </c>
      <c r="P120" s="12">
        <v>0.0</v>
      </c>
      <c r="Q120" s="5"/>
    </row>
    <row r="121" ht="15.75" customHeight="1">
      <c r="A121" s="7" t="s">
        <v>423</v>
      </c>
      <c r="B121" s="7" t="s">
        <v>424</v>
      </c>
      <c r="C121" s="7">
        <v>35.0</v>
      </c>
      <c r="D121" s="7" t="s">
        <v>57</v>
      </c>
      <c r="E121" s="7" t="s">
        <v>58</v>
      </c>
      <c r="F121" s="7" t="s">
        <v>121</v>
      </c>
      <c r="G121" s="7" t="s">
        <v>69</v>
      </c>
      <c r="H121" s="7">
        <v>21.0</v>
      </c>
      <c r="I121" s="7">
        <v>0.0</v>
      </c>
      <c r="J121" s="7" t="s">
        <v>7</v>
      </c>
      <c r="K121" s="7" t="s">
        <v>94</v>
      </c>
      <c r="L121" s="7" t="s">
        <v>10</v>
      </c>
      <c r="M121" s="7" t="s">
        <v>62</v>
      </c>
      <c r="N121" s="7" t="s">
        <v>77</v>
      </c>
      <c r="O121" s="7" t="s">
        <v>425</v>
      </c>
      <c r="P121" s="13">
        <v>0.0</v>
      </c>
      <c r="Q121" s="7"/>
    </row>
    <row r="122" ht="15.75" customHeight="1">
      <c r="A122" s="5" t="s">
        <v>426</v>
      </c>
      <c r="B122" s="5" t="s">
        <v>427</v>
      </c>
      <c r="C122" s="5">
        <v>37.0</v>
      </c>
      <c r="D122" s="5" t="s">
        <v>92</v>
      </c>
      <c r="E122" s="5" t="s">
        <v>58</v>
      </c>
      <c r="F122" s="5" t="s">
        <v>76</v>
      </c>
      <c r="G122" s="5" t="s">
        <v>69</v>
      </c>
      <c r="H122" s="5">
        <v>42.0</v>
      </c>
      <c r="I122" s="5">
        <v>0.0</v>
      </c>
      <c r="J122" s="5" t="s">
        <v>15</v>
      </c>
      <c r="K122" s="5" t="s">
        <v>61</v>
      </c>
      <c r="L122" s="5" t="s">
        <v>14</v>
      </c>
      <c r="M122" s="5" t="s">
        <v>106</v>
      </c>
      <c r="N122" s="5" t="s">
        <v>84</v>
      </c>
      <c r="O122" s="5" t="s">
        <v>245</v>
      </c>
      <c r="P122" s="12">
        <v>500.0</v>
      </c>
      <c r="Q122" s="5">
        <v>4.0</v>
      </c>
    </row>
    <row r="123" ht="15.75" customHeight="1">
      <c r="A123" s="7" t="s">
        <v>428</v>
      </c>
      <c r="B123" s="7" t="s">
        <v>429</v>
      </c>
      <c r="C123" s="7">
        <v>41.0</v>
      </c>
      <c r="D123" s="7" t="s">
        <v>92</v>
      </c>
      <c r="E123" s="7" t="s">
        <v>58</v>
      </c>
      <c r="F123" s="7" t="s">
        <v>81</v>
      </c>
      <c r="G123" s="7" t="s">
        <v>69</v>
      </c>
      <c r="H123" s="7">
        <v>40.0</v>
      </c>
      <c r="I123" s="7">
        <v>6.0</v>
      </c>
      <c r="J123" s="7" t="s">
        <v>15</v>
      </c>
      <c r="K123" s="7" t="s">
        <v>88</v>
      </c>
      <c r="L123" s="7" t="s">
        <v>14</v>
      </c>
      <c r="M123" s="7" t="s">
        <v>145</v>
      </c>
      <c r="N123" s="7" t="s">
        <v>110</v>
      </c>
      <c r="O123" s="7" t="s">
        <v>430</v>
      </c>
      <c r="P123" s="13">
        <v>0.0</v>
      </c>
      <c r="Q123" s="7"/>
    </row>
    <row r="124" ht="15.75" customHeight="1">
      <c r="A124" s="5" t="s">
        <v>431</v>
      </c>
      <c r="B124" s="5" t="s">
        <v>432</v>
      </c>
      <c r="C124" s="5">
        <v>31.0</v>
      </c>
      <c r="D124" s="5" t="s">
        <v>57</v>
      </c>
      <c r="E124" s="5" t="s">
        <v>58</v>
      </c>
      <c r="F124" s="5" t="s">
        <v>98</v>
      </c>
      <c r="G124" s="5" t="s">
        <v>60</v>
      </c>
      <c r="H124" s="5">
        <v>13.0</v>
      </c>
      <c r="I124" s="5">
        <v>0.0</v>
      </c>
      <c r="J124" s="5" t="s">
        <v>9</v>
      </c>
      <c r="K124" s="5" t="s">
        <v>128</v>
      </c>
      <c r="L124" s="5" t="s">
        <v>8</v>
      </c>
      <c r="M124" s="5" t="s">
        <v>106</v>
      </c>
      <c r="N124" s="5" t="s">
        <v>84</v>
      </c>
      <c r="O124" s="5" t="s">
        <v>433</v>
      </c>
      <c r="P124" s="12">
        <v>500.0</v>
      </c>
      <c r="Q124" s="5">
        <v>5.0</v>
      </c>
    </row>
    <row r="125" ht="15.75" customHeight="1">
      <c r="A125" s="7" t="s">
        <v>434</v>
      </c>
      <c r="B125" s="7" t="s">
        <v>226</v>
      </c>
      <c r="C125" s="7">
        <v>31.0</v>
      </c>
      <c r="D125" s="7" t="s">
        <v>92</v>
      </c>
      <c r="E125" s="7" t="s">
        <v>58</v>
      </c>
      <c r="F125" s="7" t="s">
        <v>81</v>
      </c>
      <c r="G125" s="7" t="s">
        <v>60</v>
      </c>
      <c r="H125" s="7">
        <v>34.0</v>
      </c>
      <c r="I125" s="7">
        <v>5.0</v>
      </c>
      <c r="J125" s="7" t="s">
        <v>15</v>
      </c>
      <c r="K125" s="7" t="s">
        <v>82</v>
      </c>
      <c r="L125" s="7" t="s">
        <v>14</v>
      </c>
      <c r="M125" s="7" t="s">
        <v>145</v>
      </c>
      <c r="N125" s="7" t="s">
        <v>84</v>
      </c>
      <c r="O125" s="7" t="s">
        <v>435</v>
      </c>
      <c r="P125" s="13">
        <v>350.0</v>
      </c>
      <c r="Q125" s="7">
        <v>4.0</v>
      </c>
    </row>
    <row r="126" ht="15.75" customHeight="1">
      <c r="A126" s="5" t="s">
        <v>436</v>
      </c>
      <c r="B126" s="5" t="s">
        <v>364</v>
      </c>
      <c r="C126" s="5">
        <v>37.0</v>
      </c>
      <c r="D126" s="5" t="s">
        <v>92</v>
      </c>
      <c r="E126" s="5" t="s">
        <v>58</v>
      </c>
      <c r="F126" s="5" t="s">
        <v>162</v>
      </c>
      <c r="G126" s="5" t="s">
        <v>69</v>
      </c>
      <c r="H126" s="5">
        <v>39.0</v>
      </c>
      <c r="I126" s="5">
        <v>5.0</v>
      </c>
      <c r="J126" s="5" t="s">
        <v>13</v>
      </c>
      <c r="K126" s="5" t="s">
        <v>128</v>
      </c>
      <c r="L126" s="5" t="s">
        <v>10</v>
      </c>
      <c r="M126" s="5" t="s">
        <v>62</v>
      </c>
      <c r="N126" s="5" t="s">
        <v>110</v>
      </c>
      <c r="O126" s="5" t="s">
        <v>437</v>
      </c>
      <c r="P126" s="12">
        <v>0.0</v>
      </c>
      <c r="Q126" s="5"/>
    </row>
    <row r="127" ht="15.75" customHeight="1">
      <c r="A127" s="7" t="s">
        <v>438</v>
      </c>
      <c r="B127" s="7" t="s">
        <v>439</v>
      </c>
      <c r="C127" s="7">
        <v>35.0</v>
      </c>
      <c r="D127" s="7" t="s">
        <v>92</v>
      </c>
      <c r="E127" s="7" t="s">
        <v>67</v>
      </c>
      <c r="F127" s="7" t="s">
        <v>68</v>
      </c>
      <c r="G127" s="7" t="s">
        <v>60</v>
      </c>
      <c r="H127" s="7">
        <v>14.0</v>
      </c>
      <c r="I127" s="7">
        <v>3.0</v>
      </c>
      <c r="J127" s="7" t="s">
        <v>7</v>
      </c>
      <c r="K127" s="7" t="s">
        <v>102</v>
      </c>
      <c r="L127" s="7" t="s">
        <v>12</v>
      </c>
      <c r="M127" s="7" t="s">
        <v>145</v>
      </c>
      <c r="N127" s="7" t="s">
        <v>133</v>
      </c>
      <c r="O127" s="7" t="s">
        <v>440</v>
      </c>
      <c r="P127" s="13">
        <v>0.0</v>
      </c>
      <c r="Q127" s="7"/>
    </row>
    <row r="128" ht="15.75" customHeight="1">
      <c r="A128" s="5" t="s">
        <v>441</v>
      </c>
      <c r="B128" s="5" t="s">
        <v>442</v>
      </c>
      <c r="C128" s="5">
        <v>42.0</v>
      </c>
      <c r="D128" s="5" t="s">
        <v>57</v>
      </c>
      <c r="E128" s="5" t="s">
        <v>137</v>
      </c>
      <c r="F128" s="5" t="s">
        <v>68</v>
      </c>
      <c r="G128" s="5" t="s">
        <v>69</v>
      </c>
      <c r="H128" s="5">
        <v>35.0</v>
      </c>
      <c r="I128" s="5">
        <v>2.0</v>
      </c>
      <c r="J128" s="5" t="s">
        <v>17</v>
      </c>
      <c r="K128" s="5" t="s">
        <v>88</v>
      </c>
      <c r="L128" s="5" t="s">
        <v>8</v>
      </c>
      <c r="M128" s="5" t="s">
        <v>62</v>
      </c>
      <c r="N128" s="5" t="s">
        <v>152</v>
      </c>
      <c r="O128" s="5" t="s">
        <v>443</v>
      </c>
      <c r="P128" s="12">
        <v>0.0</v>
      </c>
      <c r="Q128" s="5"/>
    </row>
    <row r="129" ht="15.75" customHeight="1">
      <c r="A129" s="7" t="s">
        <v>444</v>
      </c>
      <c r="B129" s="7" t="s">
        <v>445</v>
      </c>
      <c r="C129" s="7">
        <v>45.0</v>
      </c>
      <c r="D129" s="7" t="s">
        <v>57</v>
      </c>
      <c r="E129" s="7" t="s">
        <v>58</v>
      </c>
      <c r="F129" s="7" t="s">
        <v>76</v>
      </c>
      <c r="G129" s="7" t="s">
        <v>69</v>
      </c>
      <c r="H129" s="7">
        <v>8.0</v>
      </c>
      <c r="I129" s="7">
        <v>2.0</v>
      </c>
      <c r="J129" s="7" t="s">
        <v>17</v>
      </c>
      <c r="K129" s="7" t="s">
        <v>102</v>
      </c>
      <c r="L129" s="7" t="s">
        <v>10</v>
      </c>
      <c r="M129" s="7" t="s">
        <v>106</v>
      </c>
      <c r="N129" s="7" t="s">
        <v>152</v>
      </c>
      <c r="O129" s="7" t="s">
        <v>446</v>
      </c>
      <c r="P129" s="13">
        <v>0.0</v>
      </c>
      <c r="Q129" s="7"/>
    </row>
    <row r="130" ht="15.75" customHeight="1">
      <c r="A130" s="5" t="s">
        <v>447</v>
      </c>
      <c r="B130" s="5" t="s">
        <v>282</v>
      </c>
      <c r="C130" s="5">
        <v>21.0</v>
      </c>
      <c r="D130" s="5" t="s">
        <v>57</v>
      </c>
      <c r="E130" s="5" t="s">
        <v>58</v>
      </c>
      <c r="F130" s="5" t="s">
        <v>81</v>
      </c>
      <c r="G130" s="5" t="s">
        <v>69</v>
      </c>
      <c r="H130" s="5">
        <v>8.0</v>
      </c>
      <c r="I130" s="5">
        <v>2.0</v>
      </c>
      <c r="J130" s="5" t="s">
        <v>11</v>
      </c>
      <c r="K130" s="5" t="s">
        <v>166</v>
      </c>
      <c r="L130" s="5" t="s">
        <v>8</v>
      </c>
      <c r="M130" s="5" t="s">
        <v>83</v>
      </c>
      <c r="N130" s="5" t="s">
        <v>72</v>
      </c>
      <c r="O130" s="5" t="s">
        <v>448</v>
      </c>
      <c r="P130" s="12">
        <v>0.0</v>
      </c>
      <c r="Q130" s="5"/>
    </row>
    <row r="131" ht="15.75" customHeight="1">
      <c r="A131" s="7" t="s">
        <v>449</v>
      </c>
      <c r="B131" s="7" t="s">
        <v>229</v>
      </c>
      <c r="C131" s="7">
        <v>46.0</v>
      </c>
      <c r="D131" s="7" t="s">
        <v>92</v>
      </c>
      <c r="E131" s="7" t="s">
        <v>58</v>
      </c>
      <c r="F131" s="7" t="s">
        <v>81</v>
      </c>
      <c r="G131" s="7" t="s">
        <v>60</v>
      </c>
      <c r="H131" s="7">
        <v>41.0</v>
      </c>
      <c r="I131" s="7">
        <v>2.0</v>
      </c>
      <c r="J131" s="7" t="s">
        <v>11</v>
      </c>
      <c r="K131" s="7" t="s">
        <v>128</v>
      </c>
      <c r="L131" s="7" t="s">
        <v>8</v>
      </c>
      <c r="M131" s="7" t="s">
        <v>62</v>
      </c>
      <c r="N131" s="7" t="s">
        <v>152</v>
      </c>
      <c r="O131" s="7" t="s">
        <v>450</v>
      </c>
      <c r="P131" s="13">
        <v>0.0</v>
      </c>
      <c r="Q131" s="7"/>
    </row>
    <row r="132" ht="15.75" customHeight="1">
      <c r="A132" s="5" t="s">
        <v>451</v>
      </c>
      <c r="B132" s="5" t="s">
        <v>439</v>
      </c>
      <c r="C132" s="5">
        <v>20.0</v>
      </c>
      <c r="D132" s="5" t="s">
        <v>92</v>
      </c>
      <c r="E132" s="5" t="s">
        <v>58</v>
      </c>
      <c r="F132" s="5" t="s">
        <v>121</v>
      </c>
      <c r="G132" s="5" t="s">
        <v>60</v>
      </c>
      <c r="H132" s="5">
        <v>7.0</v>
      </c>
      <c r="I132" s="5">
        <v>3.0</v>
      </c>
      <c r="J132" s="5" t="s">
        <v>18</v>
      </c>
      <c r="K132" s="5" t="s">
        <v>88</v>
      </c>
      <c r="L132" s="5" t="s">
        <v>8</v>
      </c>
      <c r="M132" s="5" t="s">
        <v>145</v>
      </c>
      <c r="N132" s="5" t="s">
        <v>84</v>
      </c>
      <c r="O132" s="5" t="s">
        <v>452</v>
      </c>
      <c r="P132" s="12">
        <v>250.0</v>
      </c>
      <c r="Q132" s="5">
        <v>5.0</v>
      </c>
    </row>
    <row r="133" ht="15.75" customHeight="1">
      <c r="A133" s="7" t="s">
        <v>453</v>
      </c>
      <c r="B133" s="7" t="s">
        <v>454</v>
      </c>
      <c r="C133" s="7">
        <v>50.0</v>
      </c>
      <c r="D133" s="7" t="s">
        <v>57</v>
      </c>
      <c r="E133" s="7" t="s">
        <v>58</v>
      </c>
      <c r="F133" s="7" t="s">
        <v>76</v>
      </c>
      <c r="G133" s="7" t="s">
        <v>60</v>
      </c>
      <c r="H133" s="7">
        <v>17.0</v>
      </c>
      <c r="I133" s="7">
        <v>1.0</v>
      </c>
      <c r="J133" s="7" t="s">
        <v>11</v>
      </c>
      <c r="K133" s="7" t="s">
        <v>166</v>
      </c>
      <c r="L133" s="7" t="s">
        <v>12</v>
      </c>
      <c r="M133" s="7" t="s">
        <v>83</v>
      </c>
      <c r="N133" s="7" t="s">
        <v>72</v>
      </c>
      <c r="O133" s="7" t="s">
        <v>455</v>
      </c>
      <c r="P133" s="13">
        <v>0.0</v>
      </c>
      <c r="Q133" s="7"/>
    </row>
    <row r="134" ht="15.75" customHeight="1">
      <c r="A134" s="5" t="s">
        <v>456</v>
      </c>
      <c r="B134" s="5" t="s">
        <v>457</v>
      </c>
      <c r="C134" s="5">
        <v>41.0</v>
      </c>
      <c r="D134" s="5" t="s">
        <v>92</v>
      </c>
      <c r="E134" s="5" t="s">
        <v>58</v>
      </c>
      <c r="F134" s="5" t="s">
        <v>76</v>
      </c>
      <c r="G134" s="5" t="s">
        <v>69</v>
      </c>
      <c r="H134" s="5">
        <v>43.0</v>
      </c>
      <c r="I134" s="5">
        <v>4.0</v>
      </c>
      <c r="J134" s="5" t="s">
        <v>7</v>
      </c>
      <c r="K134" s="5" t="s">
        <v>128</v>
      </c>
      <c r="L134" s="5" t="s">
        <v>8</v>
      </c>
      <c r="M134" s="5" t="s">
        <v>106</v>
      </c>
      <c r="N134" s="5" t="s">
        <v>152</v>
      </c>
      <c r="O134" s="5" t="s">
        <v>458</v>
      </c>
      <c r="P134" s="12">
        <v>0.0</v>
      </c>
      <c r="Q134" s="5"/>
    </row>
    <row r="135" ht="15.75" customHeight="1">
      <c r="A135" s="7" t="s">
        <v>459</v>
      </c>
      <c r="B135" s="7" t="s">
        <v>201</v>
      </c>
      <c r="C135" s="7">
        <v>36.0</v>
      </c>
      <c r="D135" s="7" t="s">
        <v>57</v>
      </c>
      <c r="E135" s="7" t="s">
        <v>58</v>
      </c>
      <c r="F135" s="7" t="s">
        <v>162</v>
      </c>
      <c r="G135" s="7" t="s">
        <v>69</v>
      </c>
      <c r="H135" s="7">
        <v>6.0</v>
      </c>
      <c r="I135" s="7">
        <v>3.0</v>
      </c>
      <c r="J135" s="7" t="s">
        <v>7</v>
      </c>
      <c r="K135" s="7" t="s">
        <v>70</v>
      </c>
      <c r="L135" s="7" t="s">
        <v>8</v>
      </c>
      <c r="M135" s="7" t="s">
        <v>62</v>
      </c>
      <c r="N135" s="7" t="s">
        <v>63</v>
      </c>
      <c r="O135" s="7" t="s">
        <v>460</v>
      </c>
      <c r="P135" s="13">
        <v>0.0</v>
      </c>
      <c r="Q135" s="7"/>
    </row>
    <row r="136" ht="15.75" customHeight="1">
      <c r="A136" s="5" t="s">
        <v>461</v>
      </c>
      <c r="B136" s="5" t="s">
        <v>158</v>
      </c>
      <c r="C136" s="5">
        <v>23.0</v>
      </c>
      <c r="D136" s="5" t="s">
        <v>57</v>
      </c>
      <c r="E136" s="5" t="s">
        <v>67</v>
      </c>
      <c r="F136" s="5" t="s">
        <v>68</v>
      </c>
      <c r="G136" s="5" t="s">
        <v>69</v>
      </c>
      <c r="H136" s="5">
        <v>42.0</v>
      </c>
      <c r="I136" s="5">
        <v>0.0</v>
      </c>
      <c r="J136" s="5" t="s">
        <v>7</v>
      </c>
      <c r="K136" s="5" t="s">
        <v>128</v>
      </c>
      <c r="L136" s="5" t="s">
        <v>8</v>
      </c>
      <c r="M136" s="5" t="s">
        <v>62</v>
      </c>
      <c r="N136" s="5" t="s">
        <v>84</v>
      </c>
      <c r="O136" s="5" t="s">
        <v>462</v>
      </c>
      <c r="P136" s="12">
        <v>500.0</v>
      </c>
      <c r="Q136" s="5">
        <v>5.0</v>
      </c>
    </row>
    <row r="137" ht="15.75" customHeight="1">
      <c r="A137" s="7" t="s">
        <v>463</v>
      </c>
      <c r="B137" s="7" t="s">
        <v>464</v>
      </c>
      <c r="C137" s="7">
        <v>38.0</v>
      </c>
      <c r="D137" s="7" t="s">
        <v>57</v>
      </c>
      <c r="E137" s="7" t="s">
        <v>58</v>
      </c>
      <c r="F137" s="7" t="s">
        <v>76</v>
      </c>
      <c r="G137" s="7" t="s">
        <v>60</v>
      </c>
      <c r="H137" s="7">
        <v>31.0</v>
      </c>
      <c r="I137" s="7">
        <v>2.0</v>
      </c>
      <c r="J137" s="7" t="s">
        <v>9</v>
      </c>
      <c r="K137" s="7" t="s">
        <v>166</v>
      </c>
      <c r="L137" s="7" t="s">
        <v>12</v>
      </c>
      <c r="M137" s="7" t="s">
        <v>83</v>
      </c>
      <c r="N137" s="7" t="s">
        <v>63</v>
      </c>
      <c r="O137" s="7" t="s">
        <v>465</v>
      </c>
      <c r="P137" s="13">
        <v>0.0</v>
      </c>
      <c r="Q137" s="7"/>
    </row>
    <row r="138" ht="15.75" customHeight="1">
      <c r="A138" s="5" t="s">
        <v>466</v>
      </c>
      <c r="B138" s="5" t="s">
        <v>467</v>
      </c>
      <c r="C138" s="5">
        <v>32.0</v>
      </c>
      <c r="D138" s="5" t="s">
        <v>57</v>
      </c>
      <c r="E138" s="5" t="s">
        <v>58</v>
      </c>
      <c r="F138" s="5" t="s">
        <v>81</v>
      </c>
      <c r="G138" s="5" t="s">
        <v>60</v>
      </c>
      <c r="H138" s="5">
        <v>4.0</v>
      </c>
      <c r="I138" s="5">
        <v>1.0</v>
      </c>
      <c r="J138" s="5" t="s">
        <v>16</v>
      </c>
      <c r="K138" s="5" t="s">
        <v>102</v>
      </c>
      <c r="L138" s="5" t="s">
        <v>14</v>
      </c>
      <c r="M138" s="5" t="s">
        <v>83</v>
      </c>
      <c r="N138" s="5" t="s">
        <v>84</v>
      </c>
      <c r="O138" s="5" t="s">
        <v>468</v>
      </c>
      <c r="P138" s="12">
        <v>500.0</v>
      </c>
      <c r="Q138" s="5">
        <v>5.0</v>
      </c>
    </row>
    <row r="139" ht="15.75" customHeight="1">
      <c r="A139" s="7" t="s">
        <v>469</v>
      </c>
      <c r="B139" s="7" t="s">
        <v>169</v>
      </c>
      <c r="C139" s="7">
        <v>36.0</v>
      </c>
      <c r="D139" s="7" t="s">
        <v>92</v>
      </c>
      <c r="E139" s="7" t="s">
        <v>67</v>
      </c>
      <c r="F139" s="7" t="s">
        <v>68</v>
      </c>
      <c r="G139" s="7" t="s">
        <v>60</v>
      </c>
      <c r="H139" s="7">
        <v>39.0</v>
      </c>
      <c r="I139" s="7">
        <v>1.0</v>
      </c>
      <c r="J139" s="7" t="s">
        <v>18</v>
      </c>
      <c r="K139" s="7" t="s">
        <v>128</v>
      </c>
      <c r="L139" s="7" t="s">
        <v>12</v>
      </c>
      <c r="M139" s="7" t="s">
        <v>71</v>
      </c>
      <c r="N139" s="7" t="s">
        <v>84</v>
      </c>
      <c r="O139" s="7" t="s">
        <v>470</v>
      </c>
      <c r="P139" s="13">
        <v>500.0</v>
      </c>
      <c r="Q139" s="7">
        <v>5.0</v>
      </c>
    </row>
    <row r="140" ht="15.75" customHeight="1">
      <c r="A140" s="5" t="s">
        <v>471</v>
      </c>
      <c r="B140" s="5" t="s">
        <v>348</v>
      </c>
      <c r="C140" s="5">
        <v>48.0</v>
      </c>
      <c r="D140" s="5" t="s">
        <v>92</v>
      </c>
      <c r="E140" s="5" t="s">
        <v>58</v>
      </c>
      <c r="F140" s="5" t="s">
        <v>162</v>
      </c>
      <c r="G140" s="5" t="s">
        <v>69</v>
      </c>
      <c r="H140" s="5">
        <v>19.0</v>
      </c>
      <c r="I140" s="5">
        <v>3.0</v>
      </c>
      <c r="J140" s="5" t="s">
        <v>11</v>
      </c>
      <c r="K140" s="5" t="s">
        <v>88</v>
      </c>
      <c r="L140" s="5" t="s">
        <v>14</v>
      </c>
      <c r="M140" s="5" t="s">
        <v>106</v>
      </c>
      <c r="N140" s="5" t="s">
        <v>110</v>
      </c>
      <c r="O140" s="5" t="s">
        <v>472</v>
      </c>
      <c r="P140" s="12">
        <v>0.0</v>
      </c>
      <c r="Q140" s="5"/>
    </row>
    <row r="141" ht="15.75" customHeight="1">
      <c r="A141" s="7" t="s">
        <v>473</v>
      </c>
      <c r="B141" s="7" t="s">
        <v>410</v>
      </c>
      <c r="C141" s="7">
        <v>35.0</v>
      </c>
      <c r="D141" s="7" t="s">
        <v>92</v>
      </c>
      <c r="E141" s="7" t="s">
        <v>58</v>
      </c>
      <c r="F141" s="7" t="s">
        <v>76</v>
      </c>
      <c r="G141" s="7" t="s">
        <v>60</v>
      </c>
      <c r="H141" s="7">
        <v>30.0</v>
      </c>
      <c r="I141" s="7">
        <v>4.0</v>
      </c>
      <c r="J141" s="7" t="s">
        <v>13</v>
      </c>
      <c r="K141" s="7" t="s">
        <v>61</v>
      </c>
      <c r="L141" s="7" t="s">
        <v>12</v>
      </c>
      <c r="M141" s="7" t="s">
        <v>145</v>
      </c>
      <c r="N141" s="7" t="s">
        <v>77</v>
      </c>
      <c r="O141" s="7" t="s">
        <v>474</v>
      </c>
      <c r="P141" s="13">
        <v>0.0</v>
      </c>
      <c r="Q141" s="7"/>
    </row>
    <row r="142" ht="15.75" customHeight="1">
      <c r="A142" s="5" t="s">
        <v>475</v>
      </c>
      <c r="B142" s="5" t="s">
        <v>351</v>
      </c>
      <c r="C142" s="5">
        <v>37.0</v>
      </c>
      <c r="D142" s="5" t="s">
        <v>57</v>
      </c>
      <c r="E142" s="5" t="s">
        <v>58</v>
      </c>
      <c r="F142" s="5" t="s">
        <v>76</v>
      </c>
      <c r="G142" s="5" t="s">
        <v>60</v>
      </c>
      <c r="H142" s="5">
        <v>6.0</v>
      </c>
      <c r="I142" s="5">
        <v>0.0</v>
      </c>
      <c r="J142" s="5" t="s">
        <v>15</v>
      </c>
      <c r="K142" s="5" t="s">
        <v>166</v>
      </c>
      <c r="L142" s="5" t="s">
        <v>12</v>
      </c>
      <c r="M142" s="5" t="s">
        <v>145</v>
      </c>
      <c r="N142" s="5" t="s">
        <v>77</v>
      </c>
      <c r="O142" s="5" t="s">
        <v>476</v>
      </c>
      <c r="P142" s="12">
        <v>0.0</v>
      </c>
      <c r="Q142" s="5"/>
    </row>
    <row r="143" ht="15.75" customHeight="1">
      <c r="A143" s="7" t="s">
        <v>477</v>
      </c>
      <c r="B143" s="7" t="s">
        <v>478</v>
      </c>
      <c r="C143" s="7">
        <v>35.0</v>
      </c>
      <c r="D143" s="7" t="s">
        <v>92</v>
      </c>
      <c r="E143" s="7" t="s">
        <v>58</v>
      </c>
      <c r="F143" s="7" t="s">
        <v>98</v>
      </c>
      <c r="G143" s="7" t="s">
        <v>69</v>
      </c>
      <c r="H143" s="7">
        <v>11.0</v>
      </c>
      <c r="I143" s="7">
        <v>4.0</v>
      </c>
      <c r="J143" s="7" t="s">
        <v>17</v>
      </c>
      <c r="K143" s="7" t="s">
        <v>166</v>
      </c>
      <c r="L143" s="7" t="s">
        <v>12</v>
      </c>
      <c r="M143" s="7" t="s">
        <v>145</v>
      </c>
      <c r="N143" s="7" t="s">
        <v>72</v>
      </c>
      <c r="O143" s="7" t="s">
        <v>479</v>
      </c>
      <c r="P143" s="13">
        <v>0.0</v>
      </c>
      <c r="Q143" s="7"/>
    </row>
    <row r="144" ht="15.75" customHeight="1">
      <c r="A144" s="5" t="s">
        <v>480</v>
      </c>
      <c r="B144" s="5" t="s">
        <v>481</v>
      </c>
      <c r="C144" s="5">
        <v>38.0</v>
      </c>
      <c r="D144" s="5" t="s">
        <v>92</v>
      </c>
      <c r="E144" s="5" t="s">
        <v>114</v>
      </c>
      <c r="F144" s="5" t="s">
        <v>68</v>
      </c>
      <c r="G144" s="5" t="s">
        <v>69</v>
      </c>
      <c r="H144" s="5">
        <v>3.0</v>
      </c>
      <c r="I144" s="5">
        <v>7.0</v>
      </c>
      <c r="J144" s="5" t="s">
        <v>18</v>
      </c>
      <c r="K144" s="5" t="s">
        <v>94</v>
      </c>
      <c r="L144" s="5" t="s">
        <v>10</v>
      </c>
      <c r="M144" s="5" t="s">
        <v>71</v>
      </c>
      <c r="N144" s="5" t="s">
        <v>84</v>
      </c>
      <c r="O144" s="5" t="s">
        <v>482</v>
      </c>
      <c r="P144" s="12">
        <v>2000.0</v>
      </c>
      <c r="Q144" s="5">
        <v>5.0</v>
      </c>
    </row>
    <row r="145" ht="15.75" customHeight="1">
      <c r="A145" s="7" t="s">
        <v>483</v>
      </c>
      <c r="B145" s="7" t="s">
        <v>484</v>
      </c>
      <c r="C145" s="7">
        <v>28.0</v>
      </c>
      <c r="D145" s="7" t="s">
        <v>57</v>
      </c>
      <c r="E145" s="7" t="s">
        <v>58</v>
      </c>
      <c r="F145" s="7" t="s">
        <v>76</v>
      </c>
      <c r="G145" s="7" t="s">
        <v>60</v>
      </c>
      <c r="H145" s="7">
        <v>21.0</v>
      </c>
      <c r="I145" s="7">
        <v>2.0</v>
      </c>
      <c r="J145" s="7" t="s">
        <v>13</v>
      </c>
      <c r="K145" s="7" t="s">
        <v>128</v>
      </c>
      <c r="L145" s="7" t="s">
        <v>12</v>
      </c>
      <c r="M145" s="7" t="s">
        <v>83</v>
      </c>
      <c r="N145" s="7" t="s">
        <v>84</v>
      </c>
      <c r="O145" s="7" t="s">
        <v>485</v>
      </c>
      <c r="P145" s="13">
        <v>1200.0</v>
      </c>
      <c r="Q145" s="7">
        <v>5.0</v>
      </c>
    </row>
    <row r="146" ht="15.75" customHeight="1">
      <c r="A146" s="5" t="s">
        <v>486</v>
      </c>
      <c r="B146" s="5" t="s">
        <v>457</v>
      </c>
      <c r="C146" s="5">
        <v>25.0</v>
      </c>
      <c r="D146" s="5" t="s">
        <v>92</v>
      </c>
      <c r="E146" s="5" t="s">
        <v>58</v>
      </c>
      <c r="F146" s="5" t="s">
        <v>162</v>
      </c>
      <c r="G146" s="5" t="s">
        <v>69</v>
      </c>
      <c r="H146" s="5">
        <v>41.0</v>
      </c>
      <c r="I146" s="5">
        <v>2.0</v>
      </c>
      <c r="J146" s="5" t="s">
        <v>18</v>
      </c>
      <c r="K146" s="5" t="s">
        <v>61</v>
      </c>
      <c r="L146" s="5" t="s">
        <v>12</v>
      </c>
      <c r="M146" s="5" t="s">
        <v>106</v>
      </c>
      <c r="N146" s="5" t="s">
        <v>84</v>
      </c>
      <c r="O146" s="5" t="s">
        <v>487</v>
      </c>
      <c r="P146" s="12">
        <v>2000.0</v>
      </c>
      <c r="Q146" s="5">
        <v>2.0</v>
      </c>
    </row>
    <row r="147" ht="15.75" customHeight="1">
      <c r="A147" s="7" t="s">
        <v>488</v>
      </c>
      <c r="B147" s="7" t="s">
        <v>155</v>
      </c>
      <c r="C147" s="7">
        <v>22.0</v>
      </c>
      <c r="D147" s="7" t="s">
        <v>92</v>
      </c>
      <c r="E147" s="7" t="s">
        <v>58</v>
      </c>
      <c r="F147" s="7" t="s">
        <v>121</v>
      </c>
      <c r="G147" s="7" t="s">
        <v>60</v>
      </c>
      <c r="H147" s="7">
        <v>32.0</v>
      </c>
      <c r="I147" s="7">
        <v>6.0</v>
      </c>
      <c r="J147" s="7" t="s">
        <v>7</v>
      </c>
      <c r="K147" s="7" t="s">
        <v>128</v>
      </c>
      <c r="L147" s="7" t="s">
        <v>10</v>
      </c>
      <c r="M147" s="7" t="s">
        <v>62</v>
      </c>
      <c r="N147" s="7" t="s">
        <v>152</v>
      </c>
      <c r="O147" s="7" t="s">
        <v>489</v>
      </c>
      <c r="P147" s="13">
        <v>0.0</v>
      </c>
      <c r="Q147" s="7"/>
    </row>
    <row r="148" ht="15.75" customHeight="1">
      <c r="A148" s="5" t="s">
        <v>490</v>
      </c>
      <c r="B148" s="5" t="s">
        <v>432</v>
      </c>
      <c r="C148" s="5">
        <v>31.0</v>
      </c>
      <c r="D148" s="5" t="s">
        <v>57</v>
      </c>
      <c r="E148" s="5" t="s">
        <v>58</v>
      </c>
      <c r="F148" s="5" t="s">
        <v>93</v>
      </c>
      <c r="G148" s="5" t="s">
        <v>60</v>
      </c>
      <c r="H148" s="5">
        <v>33.0</v>
      </c>
      <c r="I148" s="5">
        <v>7.0</v>
      </c>
      <c r="J148" s="5" t="s">
        <v>17</v>
      </c>
      <c r="K148" s="5" t="s">
        <v>102</v>
      </c>
      <c r="L148" s="5" t="s">
        <v>8</v>
      </c>
      <c r="M148" s="5" t="s">
        <v>145</v>
      </c>
      <c r="N148" s="5" t="s">
        <v>63</v>
      </c>
      <c r="O148" s="5" t="s">
        <v>194</v>
      </c>
      <c r="P148" s="12">
        <v>0.0</v>
      </c>
      <c r="Q148" s="5"/>
    </row>
    <row r="149" ht="15.75" customHeight="1">
      <c r="A149" s="7" t="s">
        <v>491</v>
      </c>
      <c r="B149" s="7" t="s">
        <v>109</v>
      </c>
      <c r="C149" s="7">
        <v>21.0</v>
      </c>
      <c r="D149" s="7" t="s">
        <v>92</v>
      </c>
      <c r="E149" s="7" t="s">
        <v>58</v>
      </c>
      <c r="F149" s="7" t="s">
        <v>121</v>
      </c>
      <c r="G149" s="7" t="s">
        <v>69</v>
      </c>
      <c r="H149" s="7">
        <v>21.0</v>
      </c>
      <c r="I149" s="7">
        <v>2.0</v>
      </c>
      <c r="J149" s="7" t="s">
        <v>17</v>
      </c>
      <c r="K149" s="7" t="s">
        <v>166</v>
      </c>
      <c r="L149" s="7" t="s">
        <v>10</v>
      </c>
      <c r="M149" s="7" t="s">
        <v>83</v>
      </c>
      <c r="N149" s="7" t="s">
        <v>152</v>
      </c>
      <c r="O149" s="7" t="s">
        <v>492</v>
      </c>
      <c r="P149" s="13">
        <v>0.0</v>
      </c>
      <c r="Q149" s="7"/>
    </row>
    <row r="150" ht="15.75" customHeight="1">
      <c r="A150" s="5" t="s">
        <v>493</v>
      </c>
      <c r="B150" s="5" t="s">
        <v>87</v>
      </c>
      <c r="C150" s="5">
        <v>29.0</v>
      </c>
      <c r="D150" s="5" t="s">
        <v>57</v>
      </c>
      <c r="E150" s="5" t="s">
        <v>67</v>
      </c>
      <c r="F150" s="5" t="s">
        <v>68</v>
      </c>
      <c r="G150" s="5" t="s">
        <v>60</v>
      </c>
      <c r="H150" s="5">
        <v>12.0</v>
      </c>
      <c r="I150" s="5">
        <v>2.0</v>
      </c>
      <c r="J150" s="5" t="s">
        <v>9</v>
      </c>
      <c r="K150" s="5" t="s">
        <v>88</v>
      </c>
      <c r="L150" s="5" t="s">
        <v>14</v>
      </c>
      <c r="M150" s="5" t="s">
        <v>62</v>
      </c>
      <c r="N150" s="5" t="s">
        <v>84</v>
      </c>
      <c r="O150" s="5" t="s">
        <v>494</v>
      </c>
      <c r="P150" s="12">
        <v>1200.0</v>
      </c>
      <c r="Q150" s="5">
        <v>5.0</v>
      </c>
    </row>
    <row r="151" ht="15.75" customHeight="1">
      <c r="A151" s="7" t="s">
        <v>495</v>
      </c>
      <c r="B151" s="7" t="s">
        <v>496</v>
      </c>
      <c r="C151" s="7">
        <v>25.0</v>
      </c>
      <c r="D151" s="7" t="s">
        <v>57</v>
      </c>
      <c r="E151" s="7" t="s">
        <v>58</v>
      </c>
      <c r="F151" s="7" t="s">
        <v>121</v>
      </c>
      <c r="G151" s="7" t="s">
        <v>69</v>
      </c>
      <c r="H151" s="7">
        <v>4.0</v>
      </c>
      <c r="I151" s="7">
        <v>3.0</v>
      </c>
      <c r="J151" s="7" t="s">
        <v>9</v>
      </c>
      <c r="K151" s="7" t="s">
        <v>102</v>
      </c>
      <c r="L151" s="7" t="s">
        <v>10</v>
      </c>
      <c r="M151" s="7" t="s">
        <v>106</v>
      </c>
      <c r="N151" s="7" t="s">
        <v>72</v>
      </c>
      <c r="O151" s="7" t="s">
        <v>497</v>
      </c>
      <c r="P151" s="13">
        <v>0.0</v>
      </c>
      <c r="Q151" s="7"/>
    </row>
    <row r="152" ht="15.75" customHeight="1">
      <c r="A152" s="5" t="s">
        <v>498</v>
      </c>
      <c r="B152" s="5" t="s">
        <v>148</v>
      </c>
      <c r="C152" s="5">
        <v>28.0</v>
      </c>
      <c r="D152" s="5" t="s">
        <v>57</v>
      </c>
      <c r="E152" s="5" t="s">
        <v>58</v>
      </c>
      <c r="F152" s="5" t="s">
        <v>59</v>
      </c>
      <c r="G152" s="5" t="s">
        <v>69</v>
      </c>
      <c r="H152" s="5">
        <v>9.0</v>
      </c>
      <c r="I152" s="5">
        <v>3.0</v>
      </c>
      <c r="J152" s="5" t="s">
        <v>7</v>
      </c>
      <c r="K152" s="5" t="s">
        <v>82</v>
      </c>
      <c r="L152" s="5" t="s">
        <v>14</v>
      </c>
      <c r="M152" s="5" t="s">
        <v>62</v>
      </c>
      <c r="N152" s="5" t="s">
        <v>152</v>
      </c>
      <c r="O152" s="5" t="s">
        <v>499</v>
      </c>
      <c r="P152" s="12">
        <v>0.0</v>
      </c>
      <c r="Q152" s="5"/>
    </row>
    <row r="153" ht="15.75" customHeight="1">
      <c r="A153" s="7" t="s">
        <v>500</v>
      </c>
      <c r="B153" s="7" t="s">
        <v>404</v>
      </c>
      <c r="C153" s="7">
        <v>38.0</v>
      </c>
      <c r="D153" s="7" t="s">
        <v>57</v>
      </c>
      <c r="E153" s="7" t="s">
        <v>58</v>
      </c>
      <c r="F153" s="7" t="s">
        <v>81</v>
      </c>
      <c r="G153" s="7" t="s">
        <v>60</v>
      </c>
      <c r="H153" s="7">
        <v>25.0</v>
      </c>
      <c r="I153" s="7">
        <v>1.0</v>
      </c>
      <c r="J153" s="7" t="s">
        <v>11</v>
      </c>
      <c r="K153" s="7" t="s">
        <v>128</v>
      </c>
      <c r="L153" s="7" t="s">
        <v>14</v>
      </c>
      <c r="M153" s="7" t="s">
        <v>106</v>
      </c>
      <c r="N153" s="7" t="s">
        <v>84</v>
      </c>
      <c r="O153" s="7" t="s">
        <v>501</v>
      </c>
      <c r="P153" s="13">
        <v>250.0</v>
      </c>
      <c r="Q153" s="7">
        <v>4.0</v>
      </c>
    </row>
    <row r="154" ht="15.75" customHeight="1">
      <c r="A154" s="5" t="s">
        <v>502</v>
      </c>
      <c r="B154" s="5" t="s">
        <v>457</v>
      </c>
      <c r="C154" s="5">
        <v>32.0</v>
      </c>
      <c r="D154" s="5" t="s">
        <v>92</v>
      </c>
      <c r="E154" s="5" t="s">
        <v>58</v>
      </c>
      <c r="F154" s="5" t="s">
        <v>76</v>
      </c>
      <c r="G154" s="5" t="s">
        <v>69</v>
      </c>
      <c r="H154" s="5">
        <v>8.0</v>
      </c>
      <c r="I154" s="5">
        <v>1.0</v>
      </c>
      <c r="J154" s="5" t="s">
        <v>16</v>
      </c>
      <c r="K154" s="5" t="s">
        <v>70</v>
      </c>
      <c r="L154" s="5" t="s">
        <v>14</v>
      </c>
      <c r="M154" s="5" t="s">
        <v>83</v>
      </c>
      <c r="N154" s="5" t="s">
        <v>77</v>
      </c>
      <c r="O154" s="5" t="s">
        <v>503</v>
      </c>
      <c r="P154" s="12">
        <v>0.0</v>
      </c>
      <c r="Q154" s="5"/>
    </row>
    <row r="155" ht="15.75" customHeight="1">
      <c r="A155" s="7" t="s">
        <v>504</v>
      </c>
      <c r="B155" s="7" t="s">
        <v>505</v>
      </c>
      <c r="C155" s="7">
        <v>34.0</v>
      </c>
      <c r="D155" s="7" t="s">
        <v>57</v>
      </c>
      <c r="E155" s="7" t="s">
        <v>58</v>
      </c>
      <c r="F155" s="7" t="s">
        <v>59</v>
      </c>
      <c r="G155" s="7" t="s">
        <v>60</v>
      </c>
      <c r="H155" s="7">
        <v>16.0</v>
      </c>
      <c r="I155" s="7">
        <v>6.0</v>
      </c>
      <c r="J155" s="7" t="s">
        <v>18</v>
      </c>
      <c r="K155" s="7" t="s">
        <v>82</v>
      </c>
      <c r="L155" s="7" t="s">
        <v>14</v>
      </c>
      <c r="M155" s="7" t="s">
        <v>62</v>
      </c>
      <c r="N155" s="7" t="s">
        <v>84</v>
      </c>
      <c r="O155" s="7" t="s">
        <v>506</v>
      </c>
      <c r="P155" s="13">
        <v>250.0</v>
      </c>
      <c r="Q155" s="7">
        <v>5.0</v>
      </c>
    </row>
    <row r="156" ht="15.75" customHeight="1">
      <c r="A156" s="5" t="s">
        <v>507</v>
      </c>
      <c r="B156" s="5" t="s">
        <v>508</v>
      </c>
      <c r="C156" s="5">
        <v>47.0</v>
      </c>
      <c r="D156" s="5" t="s">
        <v>92</v>
      </c>
      <c r="E156" s="5" t="s">
        <v>179</v>
      </c>
      <c r="F156" s="5" t="s">
        <v>68</v>
      </c>
      <c r="G156" s="5" t="s">
        <v>60</v>
      </c>
      <c r="H156" s="5">
        <v>10.0</v>
      </c>
      <c r="I156" s="5">
        <v>3.0</v>
      </c>
      <c r="J156" s="5" t="s">
        <v>18</v>
      </c>
      <c r="K156" s="5" t="s">
        <v>166</v>
      </c>
      <c r="L156" s="5" t="s">
        <v>8</v>
      </c>
      <c r="M156" s="5" t="s">
        <v>145</v>
      </c>
      <c r="N156" s="5" t="s">
        <v>63</v>
      </c>
      <c r="O156" s="5" t="s">
        <v>509</v>
      </c>
      <c r="P156" s="12">
        <v>0.0</v>
      </c>
      <c r="Q156" s="5"/>
    </row>
    <row r="157" ht="15.75" customHeight="1">
      <c r="A157" s="7" t="s">
        <v>510</v>
      </c>
      <c r="B157" s="7" t="s">
        <v>511</v>
      </c>
      <c r="C157" s="7">
        <v>26.0</v>
      </c>
      <c r="D157" s="7" t="s">
        <v>92</v>
      </c>
      <c r="E157" s="7" t="s">
        <v>58</v>
      </c>
      <c r="F157" s="7" t="s">
        <v>59</v>
      </c>
      <c r="G157" s="7" t="s">
        <v>69</v>
      </c>
      <c r="H157" s="7">
        <v>22.0</v>
      </c>
      <c r="I157" s="7">
        <v>5.0</v>
      </c>
      <c r="J157" s="7" t="s">
        <v>7</v>
      </c>
      <c r="K157" s="7" t="s">
        <v>88</v>
      </c>
      <c r="L157" s="7" t="s">
        <v>8</v>
      </c>
      <c r="M157" s="7" t="s">
        <v>145</v>
      </c>
      <c r="N157" s="7" t="s">
        <v>77</v>
      </c>
      <c r="O157" s="7" t="s">
        <v>512</v>
      </c>
      <c r="P157" s="13">
        <v>0.0</v>
      </c>
      <c r="Q157" s="7"/>
    </row>
    <row r="158" ht="15.75" customHeight="1">
      <c r="A158" s="5" t="s">
        <v>513</v>
      </c>
      <c r="B158" s="5" t="s">
        <v>148</v>
      </c>
      <c r="C158" s="5">
        <v>25.0</v>
      </c>
      <c r="D158" s="5" t="s">
        <v>57</v>
      </c>
      <c r="E158" s="5" t="s">
        <v>58</v>
      </c>
      <c r="F158" s="5" t="s">
        <v>59</v>
      </c>
      <c r="G158" s="5" t="s">
        <v>69</v>
      </c>
      <c r="H158" s="5">
        <v>8.0</v>
      </c>
      <c r="I158" s="5">
        <v>6.0</v>
      </c>
      <c r="J158" s="5" t="s">
        <v>9</v>
      </c>
      <c r="K158" s="5" t="s">
        <v>102</v>
      </c>
      <c r="L158" s="5" t="s">
        <v>10</v>
      </c>
      <c r="M158" s="5" t="s">
        <v>71</v>
      </c>
      <c r="N158" s="5" t="s">
        <v>77</v>
      </c>
      <c r="O158" s="5" t="s">
        <v>514</v>
      </c>
      <c r="P158" s="12">
        <v>0.0</v>
      </c>
      <c r="Q158" s="5"/>
    </row>
    <row r="159" ht="15.75" customHeight="1">
      <c r="A159" s="7" t="s">
        <v>515</v>
      </c>
      <c r="B159" s="7" t="s">
        <v>212</v>
      </c>
      <c r="C159" s="7">
        <v>43.0</v>
      </c>
      <c r="D159" s="7" t="s">
        <v>57</v>
      </c>
      <c r="E159" s="7" t="s">
        <v>179</v>
      </c>
      <c r="F159" s="7" t="s">
        <v>68</v>
      </c>
      <c r="G159" s="7" t="s">
        <v>60</v>
      </c>
      <c r="H159" s="7">
        <v>27.0</v>
      </c>
      <c r="I159" s="7">
        <v>5.0</v>
      </c>
      <c r="J159" s="7" t="s">
        <v>15</v>
      </c>
      <c r="K159" s="7" t="s">
        <v>128</v>
      </c>
      <c r="L159" s="7" t="s">
        <v>14</v>
      </c>
      <c r="M159" s="7" t="s">
        <v>106</v>
      </c>
      <c r="N159" s="7" t="s">
        <v>152</v>
      </c>
      <c r="O159" s="7" t="s">
        <v>516</v>
      </c>
      <c r="P159" s="13">
        <v>0.0</v>
      </c>
      <c r="Q159" s="7"/>
    </row>
    <row r="160" ht="15.75" customHeight="1">
      <c r="A160" s="5" t="s">
        <v>517</v>
      </c>
      <c r="B160" s="5" t="s">
        <v>518</v>
      </c>
      <c r="C160" s="5">
        <v>35.0</v>
      </c>
      <c r="D160" s="5" t="s">
        <v>57</v>
      </c>
      <c r="E160" s="5" t="s">
        <v>67</v>
      </c>
      <c r="F160" s="5" t="s">
        <v>68</v>
      </c>
      <c r="G160" s="5" t="s">
        <v>60</v>
      </c>
      <c r="H160" s="5">
        <v>23.0</v>
      </c>
      <c r="I160" s="5">
        <v>4.0</v>
      </c>
      <c r="J160" s="5" t="s">
        <v>7</v>
      </c>
      <c r="K160" s="5" t="s">
        <v>70</v>
      </c>
      <c r="L160" s="5" t="s">
        <v>10</v>
      </c>
      <c r="M160" s="5" t="s">
        <v>83</v>
      </c>
      <c r="N160" s="5" t="s">
        <v>77</v>
      </c>
      <c r="O160" s="5" t="s">
        <v>519</v>
      </c>
      <c r="P160" s="12">
        <v>0.0</v>
      </c>
      <c r="Q160" s="5"/>
    </row>
    <row r="161" ht="15.75" customHeight="1">
      <c r="A161" s="7" t="s">
        <v>520</v>
      </c>
      <c r="B161" s="7" t="s">
        <v>521</v>
      </c>
      <c r="C161" s="7">
        <v>29.0</v>
      </c>
      <c r="D161" s="7" t="s">
        <v>92</v>
      </c>
      <c r="E161" s="7" t="s">
        <v>58</v>
      </c>
      <c r="F161" s="7" t="s">
        <v>121</v>
      </c>
      <c r="G161" s="7" t="s">
        <v>60</v>
      </c>
      <c r="H161" s="7">
        <v>19.0</v>
      </c>
      <c r="I161" s="7">
        <v>7.0</v>
      </c>
      <c r="J161" s="7" t="s">
        <v>11</v>
      </c>
      <c r="K161" s="7" t="s">
        <v>102</v>
      </c>
      <c r="L161" s="7" t="s">
        <v>10</v>
      </c>
      <c r="M161" s="7" t="s">
        <v>145</v>
      </c>
      <c r="N161" s="7" t="s">
        <v>84</v>
      </c>
      <c r="O161" s="7" t="s">
        <v>522</v>
      </c>
      <c r="P161" s="13">
        <v>2000.0</v>
      </c>
      <c r="Q161" s="7">
        <v>5.0</v>
      </c>
    </row>
    <row r="162" ht="15.75" customHeight="1">
      <c r="A162" s="5" t="s">
        <v>523</v>
      </c>
      <c r="B162" s="5" t="s">
        <v>524</v>
      </c>
      <c r="C162" s="5">
        <v>35.0</v>
      </c>
      <c r="D162" s="5" t="s">
        <v>57</v>
      </c>
      <c r="E162" s="5" t="s">
        <v>58</v>
      </c>
      <c r="F162" s="5" t="s">
        <v>162</v>
      </c>
      <c r="G162" s="5" t="s">
        <v>69</v>
      </c>
      <c r="H162" s="5">
        <v>38.0</v>
      </c>
      <c r="I162" s="5">
        <v>8.0</v>
      </c>
      <c r="J162" s="5" t="s">
        <v>16</v>
      </c>
      <c r="K162" s="5" t="s">
        <v>70</v>
      </c>
      <c r="L162" s="5" t="s">
        <v>14</v>
      </c>
      <c r="M162" s="5" t="s">
        <v>106</v>
      </c>
      <c r="N162" s="5" t="s">
        <v>72</v>
      </c>
      <c r="O162" s="5" t="s">
        <v>525</v>
      </c>
      <c r="P162" s="12">
        <v>0.0</v>
      </c>
      <c r="Q162" s="5"/>
    </row>
    <row r="163" ht="15.75" customHeight="1">
      <c r="A163" s="7" t="s">
        <v>526</v>
      </c>
      <c r="B163" s="7" t="s">
        <v>527</v>
      </c>
      <c r="C163" s="7">
        <v>40.0</v>
      </c>
      <c r="D163" s="7" t="s">
        <v>57</v>
      </c>
      <c r="E163" s="7" t="s">
        <v>58</v>
      </c>
      <c r="F163" s="7" t="s">
        <v>76</v>
      </c>
      <c r="G163" s="7" t="s">
        <v>60</v>
      </c>
      <c r="H163" s="7">
        <v>15.0</v>
      </c>
      <c r="I163" s="7">
        <v>7.0</v>
      </c>
      <c r="J163" s="7" t="s">
        <v>13</v>
      </c>
      <c r="K163" s="7" t="s">
        <v>132</v>
      </c>
      <c r="L163" s="7" t="s">
        <v>12</v>
      </c>
      <c r="M163" s="7" t="s">
        <v>71</v>
      </c>
      <c r="N163" s="7" t="s">
        <v>133</v>
      </c>
      <c r="O163" s="7" t="s">
        <v>528</v>
      </c>
      <c r="P163" s="13">
        <v>0.0</v>
      </c>
      <c r="Q163" s="7"/>
    </row>
    <row r="164" ht="15.75" customHeight="1">
      <c r="A164" s="5" t="s">
        <v>529</v>
      </c>
      <c r="B164" s="5" t="s">
        <v>521</v>
      </c>
      <c r="C164" s="5">
        <v>26.0</v>
      </c>
      <c r="D164" s="5" t="s">
        <v>92</v>
      </c>
      <c r="E164" s="5" t="s">
        <v>58</v>
      </c>
      <c r="F164" s="5" t="s">
        <v>81</v>
      </c>
      <c r="G164" s="5" t="s">
        <v>69</v>
      </c>
      <c r="H164" s="5">
        <v>24.0</v>
      </c>
      <c r="I164" s="5">
        <v>6.0</v>
      </c>
      <c r="J164" s="5" t="s">
        <v>11</v>
      </c>
      <c r="K164" s="5" t="s">
        <v>70</v>
      </c>
      <c r="L164" s="5" t="s">
        <v>10</v>
      </c>
      <c r="M164" s="5" t="s">
        <v>71</v>
      </c>
      <c r="N164" s="5" t="s">
        <v>84</v>
      </c>
      <c r="O164" s="5" t="s">
        <v>530</v>
      </c>
      <c r="P164" s="12">
        <v>350.0</v>
      </c>
      <c r="Q164" s="5">
        <v>5.0</v>
      </c>
    </row>
    <row r="165" ht="15.75" customHeight="1">
      <c r="A165" s="7" t="s">
        <v>531</v>
      </c>
      <c r="B165" s="7" t="s">
        <v>266</v>
      </c>
      <c r="C165" s="7">
        <v>40.0</v>
      </c>
      <c r="D165" s="7" t="s">
        <v>57</v>
      </c>
      <c r="E165" s="7" t="s">
        <v>58</v>
      </c>
      <c r="F165" s="7" t="s">
        <v>81</v>
      </c>
      <c r="G165" s="7" t="s">
        <v>60</v>
      </c>
      <c r="H165" s="7">
        <v>13.0</v>
      </c>
      <c r="I165" s="7">
        <v>3.0</v>
      </c>
      <c r="J165" s="7" t="s">
        <v>16</v>
      </c>
      <c r="K165" s="7" t="s">
        <v>102</v>
      </c>
      <c r="L165" s="7" t="s">
        <v>12</v>
      </c>
      <c r="M165" s="7" t="s">
        <v>145</v>
      </c>
      <c r="N165" s="7" t="s">
        <v>84</v>
      </c>
      <c r="O165" s="7" t="s">
        <v>532</v>
      </c>
      <c r="P165" s="13">
        <v>3500.0</v>
      </c>
      <c r="Q165" s="7">
        <v>5.0</v>
      </c>
    </row>
    <row r="166" ht="15.75" customHeight="1">
      <c r="A166" s="5" t="s">
        <v>533</v>
      </c>
      <c r="B166" s="5" t="s">
        <v>209</v>
      </c>
      <c r="C166" s="5">
        <v>28.0</v>
      </c>
      <c r="D166" s="5" t="s">
        <v>92</v>
      </c>
      <c r="E166" s="5" t="s">
        <v>58</v>
      </c>
      <c r="F166" s="5" t="s">
        <v>59</v>
      </c>
      <c r="G166" s="5" t="s">
        <v>69</v>
      </c>
      <c r="H166" s="5">
        <v>25.0</v>
      </c>
      <c r="I166" s="5">
        <v>5.0</v>
      </c>
      <c r="J166" s="5" t="s">
        <v>16</v>
      </c>
      <c r="K166" s="5" t="s">
        <v>132</v>
      </c>
      <c r="L166" s="5" t="s">
        <v>14</v>
      </c>
      <c r="M166" s="5" t="s">
        <v>71</v>
      </c>
      <c r="N166" s="5" t="s">
        <v>84</v>
      </c>
      <c r="O166" s="5" t="s">
        <v>534</v>
      </c>
      <c r="P166" s="12">
        <v>800.0</v>
      </c>
      <c r="Q166" s="5">
        <v>4.0</v>
      </c>
    </row>
    <row r="167" ht="15.75" customHeight="1">
      <c r="A167" s="7" t="s">
        <v>535</v>
      </c>
      <c r="B167" s="7" t="s">
        <v>536</v>
      </c>
      <c r="C167" s="7">
        <v>51.0</v>
      </c>
      <c r="D167" s="7" t="s">
        <v>92</v>
      </c>
      <c r="E167" s="7" t="s">
        <v>58</v>
      </c>
      <c r="F167" s="7" t="s">
        <v>121</v>
      </c>
      <c r="G167" s="7" t="s">
        <v>69</v>
      </c>
      <c r="H167" s="7">
        <v>37.0</v>
      </c>
      <c r="I167" s="7">
        <v>5.0</v>
      </c>
      <c r="J167" s="7" t="s">
        <v>9</v>
      </c>
      <c r="K167" s="7" t="s">
        <v>82</v>
      </c>
      <c r="L167" s="7" t="s">
        <v>8</v>
      </c>
      <c r="M167" s="7" t="s">
        <v>106</v>
      </c>
      <c r="N167" s="7" t="s">
        <v>84</v>
      </c>
      <c r="O167" s="7" t="s">
        <v>537</v>
      </c>
      <c r="P167" s="13">
        <v>800.0</v>
      </c>
      <c r="Q167" s="7">
        <v>5.0</v>
      </c>
    </row>
    <row r="168" ht="15.75" customHeight="1">
      <c r="A168" s="5" t="s">
        <v>538</v>
      </c>
      <c r="B168" s="5" t="s">
        <v>161</v>
      </c>
      <c r="C168" s="5">
        <v>31.0</v>
      </c>
      <c r="D168" s="5" t="s">
        <v>92</v>
      </c>
      <c r="E168" s="5" t="s">
        <v>58</v>
      </c>
      <c r="F168" s="5" t="s">
        <v>98</v>
      </c>
      <c r="G168" s="5" t="s">
        <v>69</v>
      </c>
      <c r="H168" s="5">
        <v>44.0</v>
      </c>
      <c r="I168" s="5">
        <v>1.0</v>
      </c>
      <c r="J168" s="5" t="s">
        <v>9</v>
      </c>
      <c r="K168" s="5" t="s">
        <v>82</v>
      </c>
      <c r="L168" s="5" t="s">
        <v>8</v>
      </c>
      <c r="M168" s="5" t="s">
        <v>83</v>
      </c>
      <c r="N168" s="5" t="s">
        <v>84</v>
      </c>
      <c r="O168" s="5" t="s">
        <v>539</v>
      </c>
      <c r="P168" s="12">
        <v>500.0</v>
      </c>
      <c r="Q168" s="5">
        <v>5.0</v>
      </c>
    </row>
    <row r="169" ht="15.75" customHeight="1">
      <c r="A169" s="7" t="s">
        <v>540</v>
      </c>
      <c r="B169" s="7" t="s">
        <v>541</v>
      </c>
      <c r="C169" s="7">
        <v>40.0</v>
      </c>
      <c r="D169" s="7" t="s">
        <v>92</v>
      </c>
      <c r="E169" s="7" t="s">
        <v>58</v>
      </c>
      <c r="F169" s="7" t="s">
        <v>59</v>
      </c>
      <c r="G169" s="7" t="s">
        <v>69</v>
      </c>
      <c r="H169" s="7">
        <v>22.0</v>
      </c>
      <c r="I169" s="7">
        <v>2.0</v>
      </c>
      <c r="J169" s="7" t="s">
        <v>17</v>
      </c>
      <c r="K169" s="7" t="s">
        <v>61</v>
      </c>
      <c r="L169" s="7" t="s">
        <v>12</v>
      </c>
      <c r="M169" s="7" t="s">
        <v>71</v>
      </c>
      <c r="N169" s="7" t="s">
        <v>84</v>
      </c>
      <c r="O169" s="7" t="s">
        <v>542</v>
      </c>
      <c r="P169" s="13">
        <v>250.0</v>
      </c>
      <c r="Q169" s="7">
        <v>5.0</v>
      </c>
    </row>
    <row r="170" ht="15.75" customHeight="1">
      <c r="A170" s="5" t="s">
        <v>543</v>
      </c>
      <c r="B170" s="5" t="s">
        <v>544</v>
      </c>
      <c r="C170" s="5">
        <v>31.0</v>
      </c>
      <c r="D170" s="5" t="s">
        <v>57</v>
      </c>
      <c r="E170" s="5" t="s">
        <v>58</v>
      </c>
      <c r="F170" s="5" t="s">
        <v>141</v>
      </c>
      <c r="G170" s="5" t="s">
        <v>60</v>
      </c>
      <c r="H170" s="5">
        <v>32.0</v>
      </c>
      <c r="I170" s="5">
        <v>8.0</v>
      </c>
      <c r="J170" s="5" t="s">
        <v>7</v>
      </c>
      <c r="K170" s="5" t="s">
        <v>82</v>
      </c>
      <c r="L170" s="5" t="s">
        <v>12</v>
      </c>
      <c r="M170" s="5" t="s">
        <v>62</v>
      </c>
      <c r="N170" s="5" t="s">
        <v>152</v>
      </c>
      <c r="O170" s="5" t="s">
        <v>545</v>
      </c>
      <c r="P170" s="12">
        <v>0.0</v>
      </c>
      <c r="Q170" s="5"/>
    </row>
    <row r="171" ht="15.75" customHeight="1">
      <c r="A171" s="7" t="s">
        <v>546</v>
      </c>
      <c r="B171" s="7" t="s">
        <v>339</v>
      </c>
      <c r="C171" s="7">
        <v>31.0</v>
      </c>
      <c r="D171" s="7" t="s">
        <v>57</v>
      </c>
      <c r="E171" s="7" t="s">
        <v>114</v>
      </c>
      <c r="F171" s="7" t="s">
        <v>68</v>
      </c>
      <c r="G171" s="7" t="s">
        <v>69</v>
      </c>
      <c r="H171" s="7">
        <v>21.0</v>
      </c>
      <c r="I171" s="7">
        <v>8.0</v>
      </c>
      <c r="J171" s="7" t="s">
        <v>17</v>
      </c>
      <c r="K171" s="7" t="s">
        <v>88</v>
      </c>
      <c r="L171" s="7" t="s">
        <v>8</v>
      </c>
      <c r="M171" s="7" t="s">
        <v>62</v>
      </c>
      <c r="N171" s="7" t="s">
        <v>84</v>
      </c>
      <c r="O171" s="7" t="s">
        <v>547</v>
      </c>
      <c r="P171" s="13">
        <v>3500.0</v>
      </c>
      <c r="Q171" s="7">
        <v>5.0</v>
      </c>
    </row>
    <row r="172" ht="15.75" customHeight="1">
      <c r="A172" s="5" t="s">
        <v>548</v>
      </c>
      <c r="B172" s="5" t="s">
        <v>549</v>
      </c>
      <c r="C172" s="5">
        <v>40.0</v>
      </c>
      <c r="D172" s="5" t="s">
        <v>92</v>
      </c>
      <c r="E172" s="5" t="s">
        <v>58</v>
      </c>
      <c r="F172" s="5" t="s">
        <v>162</v>
      </c>
      <c r="G172" s="5" t="s">
        <v>60</v>
      </c>
      <c r="H172" s="5">
        <v>10.0</v>
      </c>
      <c r="I172" s="5">
        <v>6.0</v>
      </c>
      <c r="J172" s="5" t="s">
        <v>18</v>
      </c>
      <c r="K172" s="5" t="s">
        <v>88</v>
      </c>
      <c r="L172" s="5" t="s">
        <v>12</v>
      </c>
      <c r="M172" s="5" t="s">
        <v>145</v>
      </c>
      <c r="N172" s="5" t="s">
        <v>84</v>
      </c>
      <c r="O172" s="5" t="s">
        <v>550</v>
      </c>
      <c r="P172" s="12">
        <v>3500.0</v>
      </c>
      <c r="Q172" s="5">
        <v>5.0</v>
      </c>
    </row>
    <row r="173" ht="15.75" customHeight="1">
      <c r="A173" s="7" t="s">
        <v>551</v>
      </c>
      <c r="B173" s="7" t="s">
        <v>320</v>
      </c>
      <c r="C173" s="7">
        <v>30.0</v>
      </c>
      <c r="D173" s="7" t="s">
        <v>57</v>
      </c>
      <c r="E173" s="7" t="s">
        <v>67</v>
      </c>
      <c r="F173" s="7" t="s">
        <v>68</v>
      </c>
      <c r="G173" s="7" t="s">
        <v>69</v>
      </c>
      <c r="H173" s="7">
        <v>34.0</v>
      </c>
      <c r="I173" s="7">
        <v>6.0</v>
      </c>
      <c r="J173" s="7" t="s">
        <v>17</v>
      </c>
      <c r="K173" s="7" t="s">
        <v>82</v>
      </c>
      <c r="L173" s="7" t="s">
        <v>12</v>
      </c>
      <c r="M173" s="7" t="s">
        <v>145</v>
      </c>
      <c r="N173" s="7" t="s">
        <v>77</v>
      </c>
      <c r="O173" s="7" t="s">
        <v>552</v>
      </c>
      <c r="P173" s="13">
        <v>0.0</v>
      </c>
      <c r="Q173" s="7"/>
    </row>
    <row r="174" ht="15.75" customHeight="1">
      <c r="A174" s="5" t="s">
        <v>553</v>
      </c>
      <c r="B174" s="5" t="s">
        <v>508</v>
      </c>
      <c r="C174" s="5">
        <v>49.0</v>
      </c>
      <c r="D174" s="5" t="s">
        <v>92</v>
      </c>
      <c r="E174" s="5" t="s">
        <v>58</v>
      </c>
      <c r="F174" s="5" t="s">
        <v>81</v>
      </c>
      <c r="G174" s="5" t="s">
        <v>69</v>
      </c>
      <c r="H174" s="5">
        <v>14.0</v>
      </c>
      <c r="I174" s="5">
        <v>6.0</v>
      </c>
      <c r="J174" s="5" t="s">
        <v>15</v>
      </c>
      <c r="K174" s="5" t="s">
        <v>102</v>
      </c>
      <c r="L174" s="5" t="s">
        <v>14</v>
      </c>
      <c r="M174" s="5" t="s">
        <v>71</v>
      </c>
      <c r="N174" s="5" t="s">
        <v>84</v>
      </c>
      <c r="O174" s="5" t="s">
        <v>554</v>
      </c>
      <c r="P174" s="12">
        <v>2000.0</v>
      </c>
      <c r="Q174" s="5">
        <v>5.0</v>
      </c>
    </row>
    <row r="175" ht="15.75" customHeight="1">
      <c r="A175" s="7" t="s">
        <v>555</v>
      </c>
      <c r="B175" s="7" t="s">
        <v>427</v>
      </c>
      <c r="C175" s="7">
        <v>25.0</v>
      </c>
      <c r="D175" s="7" t="s">
        <v>92</v>
      </c>
      <c r="E175" s="7" t="s">
        <v>179</v>
      </c>
      <c r="F175" s="7" t="s">
        <v>68</v>
      </c>
      <c r="G175" s="7" t="s">
        <v>60</v>
      </c>
      <c r="H175" s="7">
        <v>6.0</v>
      </c>
      <c r="I175" s="7">
        <v>2.0</v>
      </c>
      <c r="J175" s="7" t="s">
        <v>9</v>
      </c>
      <c r="K175" s="7" t="s">
        <v>102</v>
      </c>
      <c r="L175" s="7" t="s">
        <v>10</v>
      </c>
      <c r="M175" s="7" t="s">
        <v>62</v>
      </c>
      <c r="N175" s="7" t="s">
        <v>84</v>
      </c>
      <c r="O175" s="7" t="s">
        <v>556</v>
      </c>
      <c r="P175" s="13">
        <v>1200.0</v>
      </c>
      <c r="Q175" s="7">
        <v>1.0</v>
      </c>
    </row>
    <row r="176" ht="15.75" customHeight="1">
      <c r="A176" s="5" t="s">
        <v>557</v>
      </c>
      <c r="B176" s="5" t="s">
        <v>549</v>
      </c>
      <c r="C176" s="5">
        <v>43.0</v>
      </c>
      <c r="D176" s="5" t="s">
        <v>92</v>
      </c>
      <c r="E176" s="5" t="s">
        <v>58</v>
      </c>
      <c r="F176" s="5" t="s">
        <v>141</v>
      </c>
      <c r="G176" s="5" t="s">
        <v>60</v>
      </c>
      <c r="H176" s="5">
        <v>5.0</v>
      </c>
      <c r="I176" s="5">
        <v>7.0</v>
      </c>
      <c r="J176" s="5" t="s">
        <v>11</v>
      </c>
      <c r="K176" s="5" t="s">
        <v>132</v>
      </c>
      <c r="L176" s="5" t="s">
        <v>14</v>
      </c>
      <c r="M176" s="5" t="s">
        <v>145</v>
      </c>
      <c r="N176" s="5" t="s">
        <v>77</v>
      </c>
      <c r="O176" s="5" t="s">
        <v>558</v>
      </c>
      <c r="P176" s="12">
        <v>0.0</v>
      </c>
      <c r="Q176" s="5"/>
    </row>
    <row r="177" ht="15.75" customHeight="1">
      <c r="A177" s="7" t="s">
        <v>559</v>
      </c>
      <c r="B177" s="7" t="s">
        <v>91</v>
      </c>
      <c r="C177" s="7">
        <v>25.0</v>
      </c>
      <c r="D177" s="7" t="s">
        <v>92</v>
      </c>
      <c r="E177" s="7" t="s">
        <v>58</v>
      </c>
      <c r="F177" s="7" t="s">
        <v>93</v>
      </c>
      <c r="G177" s="7" t="s">
        <v>60</v>
      </c>
      <c r="H177" s="7">
        <v>21.0</v>
      </c>
      <c r="I177" s="7">
        <v>8.0</v>
      </c>
      <c r="J177" s="7" t="s">
        <v>16</v>
      </c>
      <c r="K177" s="7" t="s">
        <v>102</v>
      </c>
      <c r="L177" s="7" t="s">
        <v>14</v>
      </c>
      <c r="M177" s="7" t="s">
        <v>62</v>
      </c>
      <c r="N177" s="7" t="s">
        <v>77</v>
      </c>
      <c r="O177" s="7" t="s">
        <v>560</v>
      </c>
      <c r="P177" s="13">
        <v>0.0</v>
      </c>
      <c r="Q177" s="7"/>
    </row>
    <row r="178" ht="15.75" customHeight="1">
      <c r="A178" s="5" t="s">
        <v>561</v>
      </c>
      <c r="B178" s="5" t="s">
        <v>372</v>
      </c>
      <c r="C178" s="5">
        <v>40.0</v>
      </c>
      <c r="D178" s="5" t="s">
        <v>92</v>
      </c>
      <c r="E178" s="5" t="s">
        <v>179</v>
      </c>
      <c r="F178" s="5" t="s">
        <v>68</v>
      </c>
      <c r="G178" s="5" t="s">
        <v>69</v>
      </c>
      <c r="H178" s="5">
        <v>10.0</v>
      </c>
      <c r="I178" s="5">
        <v>0.0</v>
      </c>
      <c r="J178" s="5" t="s">
        <v>9</v>
      </c>
      <c r="K178" s="5" t="s">
        <v>82</v>
      </c>
      <c r="L178" s="5" t="s">
        <v>14</v>
      </c>
      <c r="M178" s="5" t="s">
        <v>145</v>
      </c>
      <c r="N178" s="5" t="s">
        <v>63</v>
      </c>
      <c r="O178" s="5" t="s">
        <v>562</v>
      </c>
      <c r="P178" s="12">
        <v>0.0</v>
      </c>
      <c r="Q178" s="5"/>
    </row>
    <row r="179" ht="15.75" customHeight="1">
      <c r="A179" s="7" t="s">
        <v>563</v>
      </c>
      <c r="B179" s="7" t="s">
        <v>442</v>
      </c>
      <c r="C179" s="7">
        <v>32.0</v>
      </c>
      <c r="D179" s="7" t="s">
        <v>57</v>
      </c>
      <c r="E179" s="7" t="s">
        <v>58</v>
      </c>
      <c r="F179" s="7" t="s">
        <v>121</v>
      </c>
      <c r="G179" s="7" t="s">
        <v>60</v>
      </c>
      <c r="H179" s="7">
        <v>25.0</v>
      </c>
      <c r="I179" s="7">
        <v>2.0</v>
      </c>
      <c r="J179" s="7" t="s">
        <v>13</v>
      </c>
      <c r="K179" s="7" t="s">
        <v>128</v>
      </c>
      <c r="L179" s="7" t="s">
        <v>8</v>
      </c>
      <c r="M179" s="7" t="s">
        <v>106</v>
      </c>
      <c r="N179" s="7" t="s">
        <v>152</v>
      </c>
      <c r="O179" s="7" t="s">
        <v>564</v>
      </c>
      <c r="P179" s="13">
        <v>0.0</v>
      </c>
      <c r="Q179" s="7"/>
    </row>
    <row r="180" ht="15.75" customHeight="1">
      <c r="A180" s="5" t="s">
        <v>565</v>
      </c>
      <c r="B180" s="5" t="s">
        <v>407</v>
      </c>
      <c r="C180" s="5">
        <v>35.0</v>
      </c>
      <c r="D180" s="5" t="s">
        <v>92</v>
      </c>
      <c r="E180" s="5" t="s">
        <v>58</v>
      </c>
      <c r="F180" s="5" t="s">
        <v>93</v>
      </c>
      <c r="G180" s="5" t="s">
        <v>69</v>
      </c>
      <c r="H180" s="5">
        <v>33.0</v>
      </c>
      <c r="I180" s="5">
        <v>1.0</v>
      </c>
      <c r="J180" s="5" t="s">
        <v>17</v>
      </c>
      <c r="K180" s="5" t="s">
        <v>88</v>
      </c>
      <c r="L180" s="5" t="s">
        <v>12</v>
      </c>
      <c r="M180" s="5" t="s">
        <v>62</v>
      </c>
      <c r="N180" s="5" t="s">
        <v>72</v>
      </c>
      <c r="O180" s="5" t="s">
        <v>566</v>
      </c>
      <c r="P180" s="12">
        <v>0.0</v>
      </c>
      <c r="Q180" s="5"/>
    </row>
    <row r="181" ht="15.75" customHeight="1">
      <c r="A181" s="7" t="s">
        <v>567</v>
      </c>
      <c r="B181" s="7" t="s">
        <v>568</v>
      </c>
      <c r="C181" s="7">
        <v>51.0</v>
      </c>
      <c r="D181" s="7" t="s">
        <v>92</v>
      </c>
      <c r="E181" s="7" t="s">
        <v>58</v>
      </c>
      <c r="F181" s="7" t="s">
        <v>141</v>
      </c>
      <c r="G181" s="7" t="s">
        <v>60</v>
      </c>
      <c r="H181" s="7">
        <v>4.0</v>
      </c>
      <c r="I181" s="7">
        <v>8.0</v>
      </c>
      <c r="J181" s="7" t="s">
        <v>18</v>
      </c>
      <c r="K181" s="7" t="s">
        <v>94</v>
      </c>
      <c r="L181" s="7" t="s">
        <v>8</v>
      </c>
      <c r="M181" s="7" t="s">
        <v>62</v>
      </c>
      <c r="N181" s="7" t="s">
        <v>84</v>
      </c>
      <c r="O181" s="7" t="s">
        <v>569</v>
      </c>
      <c r="P181" s="13">
        <v>2000.0</v>
      </c>
      <c r="Q181" s="7">
        <v>5.0</v>
      </c>
    </row>
    <row r="182" ht="15.75" customHeight="1">
      <c r="A182" s="5" t="s">
        <v>570</v>
      </c>
      <c r="B182" s="5" t="s">
        <v>148</v>
      </c>
      <c r="C182" s="5">
        <v>30.0</v>
      </c>
      <c r="D182" s="5" t="s">
        <v>57</v>
      </c>
      <c r="E182" s="5" t="s">
        <v>58</v>
      </c>
      <c r="F182" s="5" t="s">
        <v>98</v>
      </c>
      <c r="G182" s="5" t="s">
        <v>60</v>
      </c>
      <c r="H182" s="5">
        <v>14.0</v>
      </c>
      <c r="I182" s="5">
        <v>2.0</v>
      </c>
      <c r="J182" s="5" t="s">
        <v>18</v>
      </c>
      <c r="K182" s="5" t="s">
        <v>166</v>
      </c>
      <c r="L182" s="5" t="s">
        <v>10</v>
      </c>
      <c r="M182" s="5" t="s">
        <v>145</v>
      </c>
      <c r="N182" s="5" t="s">
        <v>84</v>
      </c>
      <c r="O182" s="5" t="s">
        <v>571</v>
      </c>
      <c r="P182" s="12">
        <v>1200.0</v>
      </c>
      <c r="Q182" s="5">
        <v>5.0</v>
      </c>
    </row>
    <row r="183" ht="15.75" customHeight="1">
      <c r="A183" s="7" t="s">
        <v>572</v>
      </c>
      <c r="B183" s="7" t="s">
        <v>573</v>
      </c>
      <c r="C183" s="7">
        <v>32.0</v>
      </c>
      <c r="D183" s="7" t="s">
        <v>92</v>
      </c>
      <c r="E183" s="7" t="s">
        <v>58</v>
      </c>
      <c r="F183" s="7" t="s">
        <v>162</v>
      </c>
      <c r="G183" s="7" t="s">
        <v>60</v>
      </c>
      <c r="H183" s="7">
        <v>45.0</v>
      </c>
      <c r="I183" s="7">
        <v>6.0</v>
      </c>
      <c r="J183" s="7" t="s">
        <v>9</v>
      </c>
      <c r="K183" s="7" t="s">
        <v>166</v>
      </c>
      <c r="L183" s="7" t="s">
        <v>12</v>
      </c>
      <c r="M183" s="7" t="s">
        <v>106</v>
      </c>
      <c r="N183" s="7" t="s">
        <v>84</v>
      </c>
      <c r="O183" s="7" t="s">
        <v>574</v>
      </c>
      <c r="P183" s="13">
        <v>250.0</v>
      </c>
      <c r="Q183" s="7">
        <v>5.0</v>
      </c>
    </row>
    <row r="184" ht="15.75" customHeight="1">
      <c r="A184" s="5" t="s">
        <v>575</v>
      </c>
      <c r="B184" s="5" t="s">
        <v>87</v>
      </c>
      <c r="C184" s="5">
        <v>28.0</v>
      </c>
      <c r="D184" s="5" t="s">
        <v>57</v>
      </c>
      <c r="E184" s="5" t="s">
        <v>58</v>
      </c>
      <c r="F184" s="5" t="s">
        <v>98</v>
      </c>
      <c r="G184" s="5" t="s">
        <v>60</v>
      </c>
      <c r="H184" s="5">
        <v>27.0</v>
      </c>
      <c r="I184" s="5">
        <v>4.0</v>
      </c>
      <c r="J184" s="5" t="s">
        <v>17</v>
      </c>
      <c r="K184" s="5" t="s">
        <v>132</v>
      </c>
      <c r="L184" s="5" t="s">
        <v>12</v>
      </c>
      <c r="M184" s="5" t="s">
        <v>83</v>
      </c>
      <c r="N184" s="5" t="s">
        <v>84</v>
      </c>
      <c r="O184" s="5" t="s">
        <v>576</v>
      </c>
      <c r="P184" s="12">
        <v>1200.0</v>
      </c>
      <c r="Q184" s="5">
        <v>5.0</v>
      </c>
    </row>
    <row r="185" ht="15.75" customHeight="1">
      <c r="A185" s="7" t="s">
        <v>577</v>
      </c>
      <c r="B185" s="7" t="s">
        <v>367</v>
      </c>
      <c r="C185" s="7">
        <v>27.0</v>
      </c>
      <c r="D185" s="7" t="s">
        <v>57</v>
      </c>
      <c r="E185" s="7" t="s">
        <v>67</v>
      </c>
      <c r="F185" s="7" t="s">
        <v>68</v>
      </c>
      <c r="G185" s="7" t="s">
        <v>69</v>
      </c>
      <c r="H185" s="7">
        <v>37.0</v>
      </c>
      <c r="I185" s="7">
        <v>6.0</v>
      </c>
      <c r="J185" s="7" t="s">
        <v>7</v>
      </c>
      <c r="K185" s="7" t="s">
        <v>132</v>
      </c>
      <c r="L185" s="7" t="s">
        <v>12</v>
      </c>
      <c r="M185" s="7" t="s">
        <v>145</v>
      </c>
      <c r="N185" s="7" t="s">
        <v>152</v>
      </c>
      <c r="O185" s="7" t="s">
        <v>578</v>
      </c>
      <c r="P185" s="13">
        <v>0.0</v>
      </c>
      <c r="Q185" s="7"/>
    </row>
    <row r="186" ht="15.75" customHeight="1">
      <c r="A186" s="5" t="s">
        <v>579</v>
      </c>
      <c r="B186" s="5" t="s">
        <v>87</v>
      </c>
      <c r="C186" s="5">
        <v>38.0</v>
      </c>
      <c r="D186" s="5" t="s">
        <v>57</v>
      </c>
      <c r="E186" s="5" t="s">
        <v>58</v>
      </c>
      <c r="F186" s="5" t="s">
        <v>81</v>
      </c>
      <c r="G186" s="5" t="s">
        <v>69</v>
      </c>
      <c r="H186" s="5">
        <v>6.0</v>
      </c>
      <c r="I186" s="5">
        <v>6.0</v>
      </c>
      <c r="J186" s="5" t="s">
        <v>7</v>
      </c>
      <c r="K186" s="5" t="s">
        <v>82</v>
      </c>
      <c r="L186" s="5" t="s">
        <v>14</v>
      </c>
      <c r="M186" s="5" t="s">
        <v>83</v>
      </c>
      <c r="N186" s="5" t="s">
        <v>72</v>
      </c>
      <c r="O186" s="5" t="s">
        <v>580</v>
      </c>
      <c r="P186" s="12">
        <v>0.0</v>
      </c>
      <c r="Q186" s="5"/>
    </row>
    <row r="187" ht="15.75" customHeight="1">
      <c r="A187" s="7" t="s">
        <v>581</v>
      </c>
      <c r="B187" s="7" t="s">
        <v>582</v>
      </c>
      <c r="C187" s="7">
        <v>25.0</v>
      </c>
      <c r="D187" s="7" t="s">
        <v>57</v>
      </c>
      <c r="E187" s="7" t="s">
        <v>58</v>
      </c>
      <c r="F187" s="7" t="s">
        <v>81</v>
      </c>
      <c r="G187" s="7" t="s">
        <v>69</v>
      </c>
      <c r="H187" s="7">
        <v>19.0</v>
      </c>
      <c r="I187" s="7">
        <v>3.0</v>
      </c>
      <c r="J187" s="7" t="s">
        <v>11</v>
      </c>
      <c r="K187" s="7" t="s">
        <v>102</v>
      </c>
      <c r="L187" s="7" t="s">
        <v>12</v>
      </c>
      <c r="M187" s="7" t="s">
        <v>71</v>
      </c>
      <c r="N187" s="7" t="s">
        <v>84</v>
      </c>
      <c r="O187" s="7" t="s">
        <v>583</v>
      </c>
      <c r="P187" s="13">
        <v>3500.0</v>
      </c>
      <c r="Q187" s="7">
        <v>3.0</v>
      </c>
    </row>
    <row r="188" ht="15.75" customHeight="1">
      <c r="A188" s="5" t="s">
        <v>584</v>
      </c>
      <c r="B188" s="5" t="s">
        <v>585</v>
      </c>
      <c r="C188" s="5">
        <v>49.0</v>
      </c>
      <c r="D188" s="5" t="s">
        <v>57</v>
      </c>
      <c r="E188" s="5" t="s">
        <v>58</v>
      </c>
      <c r="F188" s="5" t="s">
        <v>141</v>
      </c>
      <c r="G188" s="5" t="s">
        <v>69</v>
      </c>
      <c r="H188" s="5">
        <v>22.0</v>
      </c>
      <c r="I188" s="5">
        <v>3.0</v>
      </c>
      <c r="J188" s="5" t="s">
        <v>9</v>
      </c>
      <c r="K188" s="5" t="s">
        <v>128</v>
      </c>
      <c r="L188" s="5" t="s">
        <v>10</v>
      </c>
      <c r="M188" s="5" t="s">
        <v>83</v>
      </c>
      <c r="N188" s="5" t="s">
        <v>77</v>
      </c>
      <c r="O188" s="5" t="s">
        <v>586</v>
      </c>
      <c r="P188" s="12">
        <v>0.0</v>
      </c>
      <c r="Q188" s="5"/>
    </row>
    <row r="189" ht="15.75" customHeight="1">
      <c r="A189" s="7" t="s">
        <v>587</v>
      </c>
      <c r="B189" s="7" t="s">
        <v>364</v>
      </c>
      <c r="C189" s="7">
        <v>40.0</v>
      </c>
      <c r="D189" s="7" t="s">
        <v>92</v>
      </c>
      <c r="E189" s="7" t="s">
        <v>58</v>
      </c>
      <c r="F189" s="7" t="s">
        <v>93</v>
      </c>
      <c r="G189" s="7" t="s">
        <v>69</v>
      </c>
      <c r="H189" s="7">
        <v>16.0</v>
      </c>
      <c r="I189" s="7">
        <v>5.0</v>
      </c>
      <c r="J189" s="7" t="s">
        <v>16</v>
      </c>
      <c r="K189" s="7" t="s">
        <v>102</v>
      </c>
      <c r="L189" s="7" t="s">
        <v>8</v>
      </c>
      <c r="M189" s="7" t="s">
        <v>62</v>
      </c>
      <c r="N189" s="7" t="s">
        <v>84</v>
      </c>
      <c r="O189" s="7" t="s">
        <v>588</v>
      </c>
      <c r="P189" s="13">
        <v>350.0</v>
      </c>
      <c r="Q189" s="7">
        <v>5.0</v>
      </c>
    </row>
    <row r="190" ht="15.75" customHeight="1">
      <c r="A190" s="5" t="s">
        <v>589</v>
      </c>
      <c r="B190" s="5" t="s">
        <v>590</v>
      </c>
      <c r="C190" s="5">
        <v>43.0</v>
      </c>
      <c r="D190" s="5" t="s">
        <v>57</v>
      </c>
      <c r="E190" s="5" t="s">
        <v>137</v>
      </c>
      <c r="F190" s="5" t="s">
        <v>68</v>
      </c>
      <c r="G190" s="5" t="s">
        <v>60</v>
      </c>
      <c r="H190" s="5">
        <v>34.0</v>
      </c>
      <c r="I190" s="5">
        <v>2.0</v>
      </c>
      <c r="J190" s="5" t="s">
        <v>18</v>
      </c>
      <c r="K190" s="5" t="s">
        <v>128</v>
      </c>
      <c r="L190" s="5" t="s">
        <v>8</v>
      </c>
      <c r="M190" s="5" t="s">
        <v>62</v>
      </c>
      <c r="N190" s="5" t="s">
        <v>84</v>
      </c>
      <c r="O190" s="5" t="s">
        <v>591</v>
      </c>
      <c r="P190" s="12">
        <v>350.0</v>
      </c>
      <c r="Q190" s="5">
        <v>5.0</v>
      </c>
    </row>
    <row r="191" ht="15.75" customHeight="1">
      <c r="A191" s="7" t="s">
        <v>592</v>
      </c>
      <c r="B191" s="7" t="s">
        <v>131</v>
      </c>
      <c r="C191" s="7">
        <v>25.0</v>
      </c>
      <c r="D191" s="7" t="s">
        <v>57</v>
      </c>
      <c r="E191" s="7" t="s">
        <v>114</v>
      </c>
      <c r="F191" s="7" t="s">
        <v>68</v>
      </c>
      <c r="G191" s="7" t="s">
        <v>60</v>
      </c>
      <c r="H191" s="7">
        <v>12.0</v>
      </c>
      <c r="I191" s="7">
        <v>6.0</v>
      </c>
      <c r="J191" s="7" t="s">
        <v>13</v>
      </c>
      <c r="K191" s="7" t="s">
        <v>94</v>
      </c>
      <c r="L191" s="7" t="s">
        <v>14</v>
      </c>
      <c r="M191" s="7" t="s">
        <v>145</v>
      </c>
      <c r="N191" s="7" t="s">
        <v>77</v>
      </c>
      <c r="O191" s="7" t="s">
        <v>593</v>
      </c>
      <c r="P191" s="13">
        <v>0.0</v>
      </c>
      <c r="Q191" s="7"/>
    </row>
    <row r="192" ht="15.75" customHeight="1">
      <c r="A192" s="5" t="s">
        <v>594</v>
      </c>
      <c r="B192" s="5" t="s">
        <v>595</v>
      </c>
      <c r="C192" s="5">
        <v>26.0</v>
      </c>
      <c r="D192" s="5" t="s">
        <v>57</v>
      </c>
      <c r="E192" s="5" t="s">
        <v>58</v>
      </c>
      <c r="F192" s="5" t="s">
        <v>76</v>
      </c>
      <c r="G192" s="5" t="s">
        <v>60</v>
      </c>
      <c r="H192" s="5">
        <v>21.0</v>
      </c>
      <c r="I192" s="5">
        <v>4.0</v>
      </c>
      <c r="J192" s="5" t="s">
        <v>9</v>
      </c>
      <c r="K192" s="5" t="s">
        <v>166</v>
      </c>
      <c r="L192" s="5" t="s">
        <v>8</v>
      </c>
      <c r="M192" s="5" t="s">
        <v>71</v>
      </c>
      <c r="N192" s="5" t="s">
        <v>152</v>
      </c>
      <c r="O192" s="5" t="s">
        <v>192</v>
      </c>
      <c r="P192" s="12">
        <v>0.0</v>
      </c>
      <c r="Q192" s="5"/>
    </row>
    <row r="193" ht="15.75" customHeight="1">
      <c r="A193" s="7" t="s">
        <v>596</v>
      </c>
      <c r="B193" s="7" t="s">
        <v>464</v>
      </c>
      <c r="C193" s="7">
        <v>27.0</v>
      </c>
      <c r="D193" s="7" t="s">
        <v>57</v>
      </c>
      <c r="E193" s="7" t="s">
        <v>58</v>
      </c>
      <c r="F193" s="7" t="s">
        <v>141</v>
      </c>
      <c r="G193" s="7" t="s">
        <v>60</v>
      </c>
      <c r="H193" s="7">
        <v>9.0</v>
      </c>
      <c r="I193" s="7">
        <v>7.0</v>
      </c>
      <c r="J193" s="7" t="s">
        <v>17</v>
      </c>
      <c r="K193" s="7" t="s">
        <v>70</v>
      </c>
      <c r="L193" s="7" t="s">
        <v>10</v>
      </c>
      <c r="M193" s="7" t="s">
        <v>145</v>
      </c>
      <c r="N193" s="7" t="s">
        <v>84</v>
      </c>
      <c r="O193" s="7" t="s">
        <v>597</v>
      </c>
      <c r="P193" s="13">
        <v>3500.0</v>
      </c>
      <c r="Q193" s="7">
        <v>5.0</v>
      </c>
    </row>
    <row r="194" ht="15.75" customHeight="1">
      <c r="A194" s="5" t="s">
        <v>598</v>
      </c>
      <c r="B194" s="5" t="s">
        <v>320</v>
      </c>
      <c r="C194" s="5">
        <v>36.0</v>
      </c>
      <c r="D194" s="5" t="s">
        <v>57</v>
      </c>
      <c r="E194" s="5" t="s">
        <v>58</v>
      </c>
      <c r="F194" s="5" t="s">
        <v>76</v>
      </c>
      <c r="G194" s="5" t="s">
        <v>60</v>
      </c>
      <c r="H194" s="5">
        <v>16.0</v>
      </c>
      <c r="I194" s="5">
        <v>0.0</v>
      </c>
      <c r="J194" s="5" t="s">
        <v>11</v>
      </c>
      <c r="K194" s="5" t="s">
        <v>70</v>
      </c>
      <c r="L194" s="5" t="s">
        <v>12</v>
      </c>
      <c r="M194" s="5" t="s">
        <v>71</v>
      </c>
      <c r="N194" s="5" t="s">
        <v>110</v>
      </c>
      <c r="O194" s="5" t="s">
        <v>599</v>
      </c>
      <c r="P194" s="12">
        <v>0.0</v>
      </c>
      <c r="Q194" s="5"/>
    </row>
    <row r="195" ht="15.75" customHeight="1">
      <c r="A195" s="7" t="s">
        <v>600</v>
      </c>
      <c r="B195" s="7" t="s">
        <v>378</v>
      </c>
      <c r="C195" s="7">
        <v>48.0</v>
      </c>
      <c r="D195" s="7" t="s">
        <v>92</v>
      </c>
      <c r="E195" s="7" t="s">
        <v>58</v>
      </c>
      <c r="F195" s="7" t="s">
        <v>121</v>
      </c>
      <c r="G195" s="7" t="s">
        <v>60</v>
      </c>
      <c r="H195" s="7">
        <v>31.0</v>
      </c>
      <c r="I195" s="7">
        <v>5.0</v>
      </c>
      <c r="J195" s="7" t="s">
        <v>18</v>
      </c>
      <c r="K195" s="7" t="s">
        <v>61</v>
      </c>
      <c r="L195" s="7" t="s">
        <v>8</v>
      </c>
      <c r="M195" s="7" t="s">
        <v>62</v>
      </c>
      <c r="N195" s="7" t="s">
        <v>133</v>
      </c>
      <c r="O195" s="7" t="s">
        <v>601</v>
      </c>
      <c r="P195" s="13">
        <v>0.0</v>
      </c>
      <c r="Q195" s="7"/>
    </row>
    <row r="196" ht="15.75" customHeight="1">
      <c r="A196" s="5" t="s">
        <v>602</v>
      </c>
      <c r="B196" s="5" t="s">
        <v>603</v>
      </c>
      <c r="C196" s="5">
        <v>26.0</v>
      </c>
      <c r="D196" s="5" t="s">
        <v>57</v>
      </c>
      <c r="E196" s="5" t="s">
        <v>58</v>
      </c>
      <c r="F196" s="5" t="s">
        <v>98</v>
      </c>
      <c r="G196" s="5" t="s">
        <v>69</v>
      </c>
      <c r="H196" s="5">
        <v>3.0</v>
      </c>
      <c r="I196" s="5">
        <v>7.0</v>
      </c>
      <c r="J196" s="5" t="s">
        <v>17</v>
      </c>
      <c r="K196" s="5" t="s">
        <v>94</v>
      </c>
      <c r="L196" s="5" t="s">
        <v>12</v>
      </c>
      <c r="M196" s="5" t="s">
        <v>145</v>
      </c>
      <c r="N196" s="5" t="s">
        <v>77</v>
      </c>
      <c r="O196" s="5" t="s">
        <v>528</v>
      </c>
      <c r="P196" s="12">
        <v>0.0</v>
      </c>
      <c r="Q196" s="5"/>
    </row>
    <row r="197" ht="15.75" customHeight="1">
      <c r="A197" s="7" t="s">
        <v>604</v>
      </c>
      <c r="B197" s="7" t="s">
        <v>595</v>
      </c>
      <c r="C197" s="7">
        <v>37.0</v>
      </c>
      <c r="D197" s="7" t="s">
        <v>57</v>
      </c>
      <c r="E197" s="7" t="s">
        <v>58</v>
      </c>
      <c r="F197" s="7" t="s">
        <v>141</v>
      </c>
      <c r="G197" s="7" t="s">
        <v>60</v>
      </c>
      <c r="H197" s="7">
        <v>44.0</v>
      </c>
      <c r="I197" s="7">
        <v>5.0</v>
      </c>
      <c r="J197" s="7" t="s">
        <v>17</v>
      </c>
      <c r="K197" s="7" t="s">
        <v>102</v>
      </c>
      <c r="L197" s="7" t="s">
        <v>8</v>
      </c>
      <c r="M197" s="7" t="s">
        <v>62</v>
      </c>
      <c r="N197" s="7" t="s">
        <v>84</v>
      </c>
      <c r="O197" s="7" t="s">
        <v>605</v>
      </c>
      <c r="P197" s="13">
        <v>1200.0</v>
      </c>
      <c r="Q197" s="7">
        <v>5.0</v>
      </c>
    </row>
    <row r="198" ht="15.75" customHeight="1">
      <c r="A198" s="5" t="s">
        <v>606</v>
      </c>
      <c r="B198" s="5" t="s">
        <v>212</v>
      </c>
      <c r="C198" s="5">
        <v>35.0</v>
      </c>
      <c r="D198" s="5" t="s">
        <v>57</v>
      </c>
      <c r="E198" s="5" t="s">
        <v>58</v>
      </c>
      <c r="F198" s="5" t="s">
        <v>93</v>
      </c>
      <c r="G198" s="5" t="s">
        <v>60</v>
      </c>
      <c r="H198" s="5">
        <v>10.0</v>
      </c>
      <c r="I198" s="5">
        <v>2.0</v>
      </c>
      <c r="J198" s="5" t="s">
        <v>16</v>
      </c>
      <c r="K198" s="5" t="s">
        <v>166</v>
      </c>
      <c r="L198" s="5" t="s">
        <v>12</v>
      </c>
      <c r="M198" s="5" t="s">
        <v>106</v>
      </c>
      <c r="N198" s="5" t="s">
        <v>84</v>
      </c>
      <c r="O198" s="5" t="s">
        <v>607</v>
      </c>
      <c r="P198" s="12">
        <v>800.0</v>
      </c>
      <c r="Q198" s="5">
        <v>5.0</v>
      </c>
    </row>
    <row r="199" ht="15.75" customHeight="1">
      <c r="A199" s="7" t="s">
        <v>608</v>
      </c>
      <c r="B199" s="7" t="s">
        <v>301</v>
      </c>
      <c r="C199" s="7">
        <v>31.0</v>
      </c>
      <c r="D199" s="7" t="s">
        <v>57</v>
      </c>
      <c r="E199" s="7" t="s">
        <v>58</v>
      </c>
      <c r="F199" s="7" t="s">
        <v>141</v>
      </c>
      <c r="G199" s="7" t="s">
        <v>69</v>
      </c>
      <c r="H199" s="7">
        <v>16.0</v>
      </c>
      <c r="I199" s="7">
        <v>8.0</v>
      </c>
      <c r="J199" s="7" t="s">
        <v>17</v>
      </c>
      <c r="K199" s="7" t="s">
        <v>166</v>
      </c>
      <c r="L199" s="7" t="s">
        <v>12</v>
      </c>
      <c r="M199" s="7" t="s">
        <v>62</v>
      </c>
      <c r="N199" s="7" t="s">
        <v>84</v>
      </c>
      <c r="O199" s="7" t="s">
        <v>609</v>
      </c>
      <c r="P199" s="13">
        <v>1200.0</v>
      </c>
      <c r="Q199" s="7">
        <v>5.0</v>
      </c>
    </row>
    <row r="200" ht="15.75" customHeight="1">
      <c r="A200" s="5" t="s">
        <v>610</v>
      </c>
      <c r="B200" s="5" t="s">
        <v>611</v>
      </c>
      <c r="C200" s="5">
        <v>33.0</v>
      </c>
      <c r="D200" s="5" t="s">
        <v>57</v>
      </c>
      <c r="E200" s="5" t="s">
        <v>58</v>
      </c>
      <c r="F200" s="5" t="s">
        <v>59</v>
      </c>
      <c r="G200" s="5" t="s">
        <v>69</v>
      </c>
      <c r="H200" s="5">
        <v>15.0</v>
      </c>
      <c r="I200" s="5">
        <v>5.0</v>
      </c>
      <c r="J200" s="5" t="s">
        <v>17</v>
      </c>
      <c r="K200" s="5" t="s">
        <v>88</v>
      </c>
      <c r="L200" s="5" t="s">
        <v>12</v>
      </c>
      <c r="M200" s="5" t="s">
        <v>71</v>
      </c>
      <c r="N200" s="5" t="s">
        <v>84</v>
      </c>
      <c r="O200" s="5" t="s">
        <v>612</v>
      </c>
      <c r="P200" s="12">
        <v>500.0</v>
      </c>
      <c r="Q200" s="5">
        <v>5.0</v>
      </c>
    </row>
    <row r="201" ht="15.75" customHeight="1">
      <c r="A201" s="7" t="s">
        <v>613</v>
      </c>
      <c r="B201" s="7" t="s">
        <v>527</v>
      </c>
      <c r="C201" s="7">
        <v>25.0</v>
      </c>
      <c r="D201" s="7" t="s">
        <v>57</v>
      </c>
      <c r="E201" s="7" t="s">
        <v>58</v>
      </c>
      <c r="F201" s="7" t="s">
        <v>141</v>
      </c>
      <c r="G201" s="7" t="s">
        <v>69</v>
      </c>
      <c r="H201" s="7">
        <v>40.0</v>
      </c>
      <c r="I201" s="7">
        <v>5.0</v>
      </c>
      <c r="J201" s="7" t="s">
        <v>7</v>
      </c>
      <c r="K201" s="7" t="s">
        <v>132</v>
      </c>
      <c r="L201" s="7" t="s">
        <v>12</v>
      </c>
      <c r="M201" s="7" t="s">
        <v>71</v>
      </c>
      <c r="N201" s="7" t="s">
        <v>84</v>
      </c>
      <c r="O201" s="7" t="s">
        <v>614</v>
      </c>
      <c r="P201" s="13">
        <v>800.0</v>
      </c>
      <c r="Q201" s="7">
        <v>5.0</v>
      </c>
    </row>
    <row r="202" ht="15.75" customHeight="1">
      <c r="A202" s="5" t="s">
        <v>615</v>
      </c>
      <c r="B202" s="5" t="s">
        <v>616</v>
      </c>
      <c r="C202" s="5">
        <v>42.0</v>
      </c>
      <c r="D202" s="5" t="s">
        <v>92</v>
      </c>
      <c r="E202" s="5" t="s">
        <v>179</v>
      </c>
      <c r="F202" s="5" t="s">
        <v>68</v>
      </c>
      <c r="G202" s="5" t="s">
        <v>60</v>
      </c>
      <c r="H202" s="5">
        <v>15.0</v>
      </c>
      <c r="I202" s="5">
        <v>8.0</v>
      </c>
      <c r="J202" s="5" t="s">
        <v>16</v>
      </c>
      <c r="K202" s="5" t="s">
        <v>166</v>
      </c>
      <c r="L202" s="5" t="s">
        <v>14</v>
      </c>
      <c r="M202" s="5" t="s">
        <v>106</v>
      </c>
      <c r="N202" s="5" t="s">
        <v>84</v>
      </c>
      <c r="O202" s="5" t="s">
        <v>617</v>
      </c>
      <c r="P202" s="12">
        <v>3500.0</v>
      </c>
      <c r="Q202" s="5">
        <v>5.0</v>
      </c>
    </row>
    <row r="203" ht="15.75" customHeight="1">
      <c r="A203" s="7" t="s">
        <v>618</v>
      </c>
      <c r="B203" s="7" t="s">
        <v>619</v>
      </c>
      <c r="C203" s="7">
        <v>19.0</v>
      </c>
      <c r="D203" s="7" t="s">
        <v>92</v>
      </c>
      <c r="E203" s="7" t="s">
        <v>67</v>
      </c>
      <c r="F203" s="7" t="s">
        <v>68</v>
      </c>
      <c r="G203" s="7" t="s">
        <v>60</v>
      </c>
      <c r="H203" s="7">
        <v>30.0</v>
      </c>
      <c r="I203" s="7">
        <v>2.0</v>
      </c>
      <c r="J203" s="7" t="s">
        <v>16</v>
      </c>
      <c r="K203" s="7" t="s">
        <v>61</v>
      </c>
      <c r="L203" s="7" t="s">
        <v>8</v>
      </c>
      <c r="M203" s="7" t="s">
        <v>145</v>
      </c>
      <c r="N203" s="7" t="s">
        <v>133</v>
      </c>
      <c r="O203" s="7" t="s">
        <v>620</v>
      </c>
      <c r="P203" s="13">
        <v>0.0</v>
      </c>
      <c r="Q203" s="7"/>
    </row>
    <row r="204" ht="15.75" customHeight="1">
      <c r="A204" s="5" t="s">
        <v>621</v>
      </c>
      <c r="B204" s="5" t="s">
        <v>80</v>
      </c>
      <c r="C204" s="5">
        <v>28.0</v>
      </c>
      <c r="D204" s="5" t="s">
        <v>57</v>
      </c>
      <c r="E204" s="5" t="s">
        <v>58</v>
      </c>
      <c r="F204" s="5" t="s">
        <v>59</v>
      </c>
      <c r="G204" s="5" t="s">
        <v>69</v>
      </c>
      <c r="H204" s="5">
        <v>21.0</v>
      </c>
      <c r="I204" s="5">
        <v>2.0</v>
      </c>
      <c r="J204" s="5" t="s">
        <v>18</v>
      </c>
      <c r="K204" s="5" t="s">
        <v>128</v>
      </c>
      <c r="L204" s="5" t="s">
        <v>14</v>
      </c>
      <c r="M204" s="5" t="s">
        <v>71</v>
      </c>
      <c r="N204" s="5" t="s">
        <v>63</v>
      </c>
      <c r="O204" s="5" t="s">
        <v>622</v>
      </c>
      <c r="P204" s="12">
        <v>0.0</v>
      </c>
      <c r="Q204" s="5"/>
    </row>
    <row r="205" ht="15.75" customHeight="1">
      <c r="A205" s="7" t="s">
        <v>623</v>
      </c>
      <c r="B205" s="7" t="s">
        <v>624</v>
      </c>
      <c r="C205" s="7">
        <v>28.0</v>
      </c>
      <c r="D205" s="7" t="s">
        <v>57</v>
      </c>
      <c r="E205" s="7" t="s">
        <v>114</v>
      </c>
      <c r="F205" s="7" t="s">
        <v>68</v>
      </c>
      <c r="G205" s="7" t="s">
        <v>69</v>
      </c>
      <c r="H205" s="7">
        <v>34.0</v>
      </c>
      <c r="I205" s="7">
        <v>5.0</v>
      </c>
      <c r="J205" s="7" t="s">
        <v>18</v>
      </c>
      <c r="K205" s="7" t="s">
        <v>102</v>
      </c>
      <c r="L205" s="7" t="s">
        <v>10</v>
      </c>
      <c r="M205" s="7" t="s">
        <v>83</v>
      </c>
      <c r="N205" s="7" t="s">
        <v>110</v>
      </c>
      <c r="O205" s="7" t="s">
        <v>625</v>
      </c>
      <c r="P205" s="13">
        <v>0.0</v>
      </c>
      <c r="Q205" s="7"/>
    </row>
    <row r="206" ht="15.75" customHeight="1">
      <c r="A206" s="5" t="s">
        <v>626</v>
      </c>
      <c r="B206" s="5" t="s">
        <v>117</v>
      </c>
      <c r="C206" s="5">
        <v>36.0</v>
      </c>
      <c r="D206" s="5" t="s">
        <v>57</v>
      </c>
      <c r="E206" s="5" t="s">
        <v>58</v>
      </c>
      <c r="F206" s="5" t="s">
        <v>141</v>
      </c>
      <c r="G206" s="5" t="s">
        <v>60</v>
      </c>
      <c r="H206" s="5">
        <v>32.0</v>
      </c>
      <c r="I206" s="5">
        <v>6.0</v>
      </c>
      <c r="J206" s="5" t="s">
        <v>16</v>
      </c>
      <c r="K206" s="5" t="s">
        <v>166</v>
      </c>
      <c r="L206" s="5" t="s">
        <v>10</v>
      </c>
      <c r="M206" s="5" t="s">
        <v>83</v>
      </c>
      <c r="N206" s="5" t="s">
        <v>152</v>
      </c>
      <c r="O206" s="5" t="s">
        <v>627</v>
      </c>
      <c r="P206" s="12">
        <v>0.0</v>
      </c>
      <c r="Q206" s="5"/>
    </row>
    <row r="207" ht="15.75" customHeight="1">
      <c r="A207" s="7" t="s">
        <v>628</v>
      </c>
      <c r="B207" s="7" t="s">
        <v>629</v>
      </c>
      <c r="C207" s="7">
        <v>33.0</v>
      </c>
      <c r="D207" s="7" t="s">
        <v>92</v>
      </c>
      <c r="E207" s="7" t="s">
        <v>58</v>
      </c>
      <c r="F207" s="7" t="s">
        <v>162</v>
      </c>
      <c r="G207" s="7" t="s">
        <v>60</v>
      </c>
      <c r="H207" s="7">
        <v>16.0</v>
      </c>
      <c r="I207" s="7">
        <v>6.0</v>
      </c>
      <c r="J207" s="7" t="s">
        <v>13</v>
      </c>
      <c r="K207" s="7" t="s">
        <v>88</v>
      </c>
      <c r="L207" s="7" t="s">
        <v>8</v>
      </c>
      <c r="M207" s="7" t="s">
        <v>106</v>
      </c>
      <c r="N207" s="7" t="s">
        <v>152</v>
      </c>
      <c r="O207" s="7" t="s">
        <v>630</v>
      </c>
      <c r="P207" s="13">
        <v>0.0</v>
      </c>
      <c r="Q207" s="7"/>
    </row>
    <row r="208" ht="15.75" customHeight="1">
      <c r="A208" s="5" t="s">
        <v>631</v>
      </c>
      <c r="B208" s="5" t="s">
        <v>632</v>
      </c>
      <c r="C208" s="5">
        <v>47.0</v>
      </c>
      <c r="D208" s="5" t="s">
        <v>57</v>
      </c>
      <c r="E208" s="5" t="s">
        <v>58</v>
      </c>
      <c r="F208" s="5" t="s">
        <v>162</v>
      </c>
      <c r="G208" s="5" t="s">
        <v>60</v>
      </c>
      <c r="H208" s="5">
        <v>28.0</v>
      </c>
      <c r="I208" s="5">
        <v>0.0</v>
      </c>
      <c r="J208" s="5" t="s">
        <v>15</v>
      </c>
      <c r="K208" s="5" t="s">
        <v>70</v>
      </c>
      <c r="L208" s="5" t="s">
        <v>10</v>
      </c>
      <c r="M208" s="5" t="s">
        <v>71</v>
      </c>
      <c r="N208" s="5" t="s">
        <v>63</v>
      </c>
      <c r="O208" s="5" t="s">
        <v>633</v>
      </c>
      <c r="P208" s="12">
        <v>0.0</v>
      </c>
      <c r="Q208" s="5"/>
    </row>
    <row r="209" ht="15.75" customHeight="1">
      <c r="A209" s="7" t="s">
        <v>634</v>
      </c>
      <c r="B209" s="7" t="s">
        <v>323</v>
      </c>
      <c r="C209" s="7">
        <v>33.0</v>
      </c>
      <c r="D209" s="7" t="s">
        <v>57</v>
      </c>
      <c r="E209" s="7" t="s">
        <v>58</v>
      </c>
      <c r="F209" s="7" t="s">
        <v>141</v>
      </c>
      <c r="G209" s="7" t="s">
        <v>69</v>
      </c>
      <c r="H209" s="7">
        <v>23.0</v>
      </c>
      <c r="I209" s="7">
        <v>1.0</v>
      </c>
      <c r="J209" s="7" t="s">
        <v>13</v>
      </c>
      <c r="K209" s="7" t="s">
        <v>128</v>
      </c>
      <c r="L209" s="7" t="s">
        <v>10</v>
      </c>
      <c r="M209" s="7" t="s">
        <v>71</v>
      </c>
      <c r="N209" s="7" t="s">
        <v>84</v>
      </c>
      <c r="O209" s="7" t="s">
        <v>586</v>
      </c>
      <c r="P209" s="13">
        <v>1200.0</v>
      </c>
      <c r="Q209" s="7">
        <v>5.0</v>
      </c>
    </row>
    <row r="210" ht="15.75" customHeight="1">
      <c r="A210" s="5" t="s">
        <v>635</v>
      </c>
      <c r="B210" s="5" t="s">
        <v>616</v>
      </c>
      <c r="C210" s="5">
        <v>24.0</v>
      </c>
      <c r="D210" s="5" t="s">
        <v>92</v>
      </c>
      <c r="E210" s="5" t="s">
        <v>58</v>
      </c>
      <c r="F210" s="5" t="s">
        <v>81</v>
      </c>
      <c r="G210" s="5" t="s">
        <v>69</v>
      </c>
      <c r="H210" s="5">
        <v>45.0</v>
      </c>
      <c r="I210" s="5">
        <v>7.0</v>
      </c>
      <c r="J210" s="5" t="s">
        <v>7</v>
      </c>
      <c r="K210" s="5" t="s">
        <v>166</v>
      </c>
      <c r="L210" s="5" t="s">
        <v>10</v>
      </c>
      <c r="M210" s="5" t="s">
        <v>62</v>
      </c>
      <c r="N210" s="5" t="s">
        <v>63</v>
      </c>
      <c r="O210" s="5" t="s">
        <v>636</v>
      </c>
      <c r="P210" s="12">
        <v>0.0</v>
      </c>
      <c r="Q210" s="5"/>
    </row>
    <row r="211" ht="15.75" customHeight="1">
      <c r="A211" s="7" t="s">
        <v>637</v>
      </c>
      <c r="B211" s="7" t="s">
        <v>158</v>
      </c>
      <c r="C211" s="7">
        <v>24.0</v>
      </c>
      <c r="D211" s="7" t="s">
        <v>57</v>
      </c>
      <c r="E211" s="7" t="s">
        <v>58</v>
      </c>
      <c r="F211" s="7" t="s">
        <v>98</v>
      </c>
      <c r="G211" s="7" t="s">
        <v>69</v>
      </c>
      <c r="H211" s="7">
        <v>12.0</v>
      </c>
      <c r="I211" s="7">
        <v>8.0</v>
      </c>
      <c r="J211" s="7" t="s">
        <v>7</v>
      </c>
      <c r="K211" s="7" t="s">
        <v>128</v>
      </c>
      <c r="L211" s="7" t="s">
        <v>14</v>
      </c>
      <c r="M211" s="7" t="s">
        <v>83</v>
      </c>
      <c r="N211" s="7" t="s">
        <v>77</v>
      </c>
      <c r="O211" s="7" t="s">
        <v>638</v>
      </c>
      <c r="P211" s="13">
        <v>0.0</v>
      </c>
      <c r="Q211" s="7"/>
    </row>
    <row r="212" ht="15.75" customHeight="1">
      <c r="A212" s="5" t="s">
        <v>639</v>
      </c>
      <c r="B212" s="5" t="s">
        <v>395</v>
      </c>
      <c r="C212" s="5">
        <v>23.0</v>
      </c>
      <c r="D212" s="5" t="s">
        <v>57</v>
      </c>
      <c r="E212" s="5" t="s">
        <v>114</v>
      </c>
      <c r="F212" s="5" t="s">
        <v>68</v>
      </c>
      <c r="G212" s="5" t="s">
        <v>60</v>
      </c>
      <c r="H212" s="5">
        <v>6.0</v>
      </c>
      <c r="I212" s="5">
        <v>2.0</v>
      </c>
      <c r="J212" s="5" t="s">
        <v>16</v>
      </c>
      <c r="K212" s="5" t="s">
        <v>166</v>
      </c>
      <c r="L212" s="5" t="s">
        <v>14</v>
      </c>
      <c r="M212" s="5" t="s">
        <v>62</v>
      </c>
      <c r="N212" s="5" t="s">
        <v>72</v>
      </c>
      <c r="O212" s="5" t="s">
        <v>640</v>
      </c>
      <c r="P212" s="12">
        <v>0.0</v>
      </c>
      <c r="Q212" s="5"/>
    </row>
    <row r="213" ht="15.75" customHeight="1">
      <c r="A213" s="7" t="s">
        <v>641</v>
      </c>
      <c r="B213" s="7" t="s">
        <v>351</v>
      </c>
      <c r="C213" s="7">
        <v>38.0</v>
      </c>
      <c r="D213" s="7" t="s">
        <v>57</v>
      </c>
      <c r="E213" s="7" t="s">
        <v>58</v>
      </c>
      <c r="F213" s="7" t="s">
        <v>141</v>
      </c>
      <c r="G213" s="7" t="s">
        <v>60</v>
      </c>
      <c r="H213" s="7">
        <v>8.0</v>
      </c>
      <c r="I213" s="7">
        <v>5.0</v>
      </c>
      <c r="J213" s="7" t="s">
        <v>7</v>
      </c>
      <c r="K213" s="7" t="s">
        <v>82</v>
      </c>
      <c r="L213" s="7" t="s">
        <v>8</v>
      </c>
      <c r="M213" s="7" t="s">
        <v>71</v>
      </c>
      <c r="N213" s="7" t="s">
        <v>152</v>
      </c>
      <c r="O213" s="7" t="s">
        <v>642</v>
      </c>
      <c r="P213" s="13">
        <v>0.0</v>
      </c>
      <c r="Q213" s="7"/>
    </row>
    <row r="214" ht="15.75" customHeight="1">
      <c r="A214" s="5" t="s">
        <v>643</v>
      </c>
      <c r="B214" s="5" t="s">
        <v>496</v>
      </c>
      <c r="C214" s="5">
        <v>32.0</v>
      </c>
      <c r="D214" s="5" t="s">
        <v>57</v>
      </c>
      <c r="E214" s="5" t="s">
        <v>58</v>
      </c>
      <c r="F214" s="5" t="s">
        <v>81</v>
      </c>
      <c r="G214" s="5" t="s">
        <v>69</v>
      </c>
      <c r="H214" s="5">
        <v>12.0</v>
      </c>
      <c r="I214" s="5">
        <v>4.0</v>
      </c>
      <c r="J214" s="5" t="s">
        <v>7</v>
      </c>
      <c r="K214" s="5" t="s">
        <v>132</v>
      </c>
      <c r="L214" s="5" t="s">
        <v>10</v>
      </c>
      <c r="M214" s="5" t="s">
        <v>83</v>
      </c>
      <c r="N214" s="5" t="s">
        <v>63</v>
      </c>
      <c r="O214" s="5" t="s">
        <v>644</v>
      </c>
      <c r="P214" s="12">
        <v>0.0</v>
      </c>
      <c r="Q214" s="5"/>
    </row>
    <row r="215" ht="15.75" customHeight="1">
      <c r="A215" s="7" t="s">
        <v>645</v>
      </c>
      <c r="B215" s="7" t="s">
        <v>158</v>
      </c>
      <c r="C215" s="7">
        <v>22.0</v>
      </c>
      <c r="D215" s="7" t="s">
        <v>57</v>
      </c>
      <c r="E215" s="7" t="s">
        <v>58</v>
      </c>
      <c r="F215" s="7" t="s">
        <v>93</v>
      </c>
      <c r="G215" s="7" t="s">
        <v>69</v>
      </c>
      <c r="H215" s="7">
        <v>12.0</v>
      </c>
      <c r="I215" s="7">
        <v>2.0</v>
      </c>
      <c r="J215" s="7" t="s">
        <v>7</v>
      </c>
      <c r="K215" s="7" t="s">
        <v>132</v>
      </c>
      <c r="L215" s="7" t="s">
        <v>12</v>
      </c>
      <c r="M215" s="7" t="s">
        <v>145</v>
      </c>
      <c r="N215" s="7" t="s">
        <v>77</v>
      </c>
      <c r="O215" s="7" t="s">
        <v>646</v>
      </c>
      <c r="P215" s="13">
        <v>0.0</v>
      </c>
      <c r="Q215" s="7"/>
    </row>
    <row r="216" ht="15.75" customHeight="1">
      <c r="A216" s="5" t="s">
        <v>647</v>
      </c>
      <c r="B216" s="5" t="s">
        <v>345</v>
      </c>
      <c r="C216" s="5">
        <v>50.0</v>
      </c>
      <c r="D216" s="5" t="s">
        <v>92</v>
      </c>
      <c r="E216" s="5" t="s">
        <v>58</v>
      </c>
      <c r="F216" s="5" t="s">
        <v>93</v>
      </c>
      <c r="G216" s="5" t="s">
        <v>69</v>
      </c>
      <c r="H216" s="5">
        <v>5.0</v>
      </c>
      <c r="I216" s="5">
        <v>8.0</v>
      </c>
      <c r="J216" s="5" t="s">
        <v>13</v>
      </c>
      <c r="K216" s="5" t="s">
        <v>94</v>
      </c>
      <c r="L216" s="5" t="s">
        <v>14</v>
      </c>
      <c r="M216" s="5" t="s">
        <v>62</v>
      </c>
      <c r="N216" s="5" t="s">
        <v>84</v>
      </c>
      <c r="O216" s="5" t="s">
        <v>648</v>
      </c>
      <c r="P216" s="12">
        <v>500.0</v>
      </c>
      <c r="Q216" s="5">
        <v>5.0</v>
      </c>
    </row>
    <row r="217" ht="15.75" customHeight="1">
      <c r="A217" s="7" t="s">
        <v>649</v>
      </c>
      <c r="B217" s="7" t="s">
        <v>273</v>
      </c>
      <c r="C217" s="7">
        <v>33.0</v>
      </c>
      <c r="D217" s="7" t="s">
        <v>57</v>
      </c>
      <c r="E217" s="7" t="s">
        <v>58</v>
      </c>
      <c r="F217" s="7" t="s">
        <v>162</v>
      </c>
      <c r="G217" s="7" t="s">
        <v>69</v>
      </c>
      <c r="H217" s="7">
        <v>39.0</v>
      </c>
      <c r="I217" s="7">
        <v>3.0</v>
      </c>
      <c r="J217" s="7" t="s">
        <v>7</v>
      </c>
      <c r="K217" s="7" t="s">
        <v>166</v>
      </c>
      <c r="L217" s="7" t="s">
        <v>8</v>
      </c>
      <c r="M217" s="7" t="s">
        <v>83</v>
      </c>
      <c r="N217" s="7" t="s">
        <v>152</v>
      </c>
      <c r="O217" s="7" t="s">
        <v>650</v>
      </c>
      <c r="P217" s="13">
        <v>0.0</v>
      </c>
      <c r="Q217" s="7"/>
    </row>
    <row r="218" ht="15.75" customHeight="1">
      <c r="A218" s="5" t="s">
        <v>651</v>
      </c>
      <c r="B218" s="5" t="s">
        <v>467</v>
      </c>
      <c r="C218" s="5">
        <v>41.0</v>
      </c>
      <c r="D218" s="5" t="s">
        <v>57</v>
      </c>
      <c r="E218" s="5" t="s">
        <v>137</v>
      </c>
      <c r="F218" s="5" t="s">
        <v>68</v>
      </c>
      <c r="G218" s="5" t="s">
        <v>60</v>
      </c>
      <c r="H218" s="5">
        <v>39.0</v>
      </c>
      <c r="I218" s="5">
        <v>3.0</v>
      </c>
      <c r="J218" s="5" t="s">
        <v>17</v>
      </c>
      <c r="K218" s="5" t="s">
        <v>88</v>
      </c>
      <c r="L218" s="5" t="s">
        <v>10</v>
      </c>
      <c r="M218" s="5" t="s">
        <v>83</v>
      </c>
      <c r="N218" s="5" t="s">
        <v>77</v>
      </c>
      <c r="O218" s="5" t="s">
        <v>652</v>
      </c>
      <c r="P218" s="12">
        <v>0.0</v>
      </c>
      <c r="Q218" s="5"/>
    </row>
    <row r="219" ht="15.75" customHeight="1">
      <c r="A219" s="7" t="s">
        <v>653</v>
      </c>
      <c r="B219" s="7" t="s">
        <v>654</v>
      </c>
      <c r="C219" s="7">
        <v>21.0</v>
      </c>
      <c r="D219" s="7" t="s">
        <v>92</v>
      </c>
      <c r="E219" s="7" t="s">
        <v>58</v>
      </c>
      <c r="F219" s="7" t="s">
        <v>98</v>
      </c>
      <c r="G219" s="7" t="s">
        <v>69</v>
      </c>
      <c r="H219" s="7">
        <v>25.0</v>
      </c>
      <c r="I219" s="7">
        <v>6.0</v>
      </c>
      <c r="J219" s="7" t="s">
        <v>16</v>
      </c>
      <c r="K219" s="7" t="s">
        <v>82</v>
      </c>
      <c r="L219" s="7" t="s">
        <v>10</v>
      </c>
      <c r="M219" s="7" t="s">
        <v>106</v>
      </c>
      <c r="N219" s="7" t="s">
        <v>133</v>
      </c>
      <c r="O219" s="7" t="s">
        <v>655</v>
      </c>
      <c r="P219" s="13">
        <v>0.0</v>
      </c>
      <c r="Q219" s="7"/>
    </row>
    <row r="220" ht="15.75" customHeight="1">
      <c r="A220" s="5" t="s">
        <v>656</v>
      </c>
      <c r="B220" s="5" t="s">
        <v>144</v>
      </c>
      <c r="C220" s="5">
        <v>22.0</v>
      </c>
      <c r="D220" s="5" t="s">
        <v>57</v>
      </c>
      <c r="E220" s="5" t="s">
        <v>114</v>
      </c>
      <c r="F220" s="5" t="s">
        <v>68</v>
      </c>
      <c r="G220" s="5" t="s">
        <v>60</v>
      </c>
      <c r="H220" s="5">
        <v>9.0</v>
      </c>
      <c r="I220" s="5">
        <v>8.0</v>
      </c>
      <c r="J220" s="5" t="s">
        <v>15</v>
      </c>
      <c r="K220" s="5" t="s">
        <v>128</v>
      </c>
      <c r="L220" s="5" t="s">
        <v>10</v>
      </c>
      <c r="M220" s="5" t="s">
        <v>71</v>
      </c>
      <c r="N220" s="5" t="s">
        <v>77</v>
      </c>
      <c r="O220" s="5" t="s">
        <v>657</v>
      </c>
      <c r="P220" s="12">
        <v>0.0</v>
      </c>
      <c r="Q220" s="5"/>
    </row>
    <row r="221" ht="15.75" customHeight="1">
      <c r="A221" s="7" t="s">
        <v>658</v>
      </c>
      <c r="B221" s="7" t="s">
        <v>659</v>
      </c>
      <c r="C221" s="7">
        <v>36.0</v>
      </c>
      <c r="D221" s="7" t="s">
        <v>57</v>
      </c>
      <c r="E221" s="7" t="s">
        <v>58</v>
      </c>
      <c r="F221" s="7" t="s">
        <v>93</v>
      </c>
      <c r="G221" s="7" t="s">
        <v>60</v>
      </c>
      <c r="H221" s="7">
        <v>27.0</v>
      </c>
      <c r="I221" s="7">
        <v>3.0</v>
      </c>
      <c r="J221" s="7" t="s">
        <v>9</v>
      </c>
      <c r="K221" s="7" t="s">
        <v>94</v>
      </c>
      <c r="L221" s="7" t="s">
        <v>8</v>
      </c>
      <c r="M221" s="7" t="s">
        <v>145</v>
      </c>
      <c r="N221" s="7" t="s">
        <v>110</v>
      </c>
      <c r="O221" s="7" t="s">
        <v>660</v>
      </c>
      <c r="P221" s="13">
        <v>0.0</v>
      </c>
      <c r="Q221" s="7"/>
    </row>
    <row r="222" ht="15.75" customHeight="1">
      <c r="A222" s="5" t="s">
        <v>661</v>
      </c>
      <c r="B222" s="5" t="s">
        <v>445</v>
      </c>
      <c r="C222" s="5">
        <v>19.0</v>
      </c>
      <c r="D222" s="5" t="s">
        <v>57</v>
      </c>
      <c r="E222" s="5" t="s">
        <v>58</v>
      </c>
      <c r="F222" s="5" t="s">
        <v>121</v>
      </c>
      <c r="G222" s="5" t="s">
        <v>60</v>
      </c>
      <c r="H222" s="5">
        <v>37.0</v>
      </c>
      <c r="I222" s="5">
        <v>3.0</v>
      </c>
      <c r="J222" s="5" t="s">
        <v>17</v>
      </c>
      <c r="K222" s="5" t="s">
        <v>70</v>
      </c>
      <c r="L222" s="5" t="s">
        <v>12</v>
      </c>
      <c r="M222" s="5" t="s">
        <v>145</v>
      </c>
      <c r="N222" s="5" t="s">
        <v>110</v>
      </c>
      <c r="O222" s="5" t="s">
        <v>662</v>
      </c>
      <c r="P222" s="12">
        <v>0.0</v>
      </c>
      <c r="Q222" s="5"/>
    </row>
    <row r="223" ht="15.75" customHeight="1">
      <c r="A223" s="7" t="s">
        <v>663</v>
      </c>
      <c r="B223" s="7" t="s">
        <v>664</v>
      </c>
      <c r="C223" s="7">
        <v>23.0</v>
      </c>
      <c r="D223" s="7" t="s">
        <v>92</v>
      </c>
      <c r="E223" s="7" t="s">
        <v>58</v>
      </c>
      <c r="F223" s="7" t="s">
        <v>81</v>
      </c>
      <c r="G223" s="7" t="s">
        <v>69</v>
      </c>
      <c r="H223" s="7">
        <v>30.0</v>
      </c>
      <c r="I223" s="7">
        <v>3.0</v>
      </c>
      <c r="J223" s="7" t="s">
        <v>13</v>
      </c>
      <c r="K223" s="7" t="s">
        <v>70</v>
      </c>
      <c r="L223" s="7" t="s">
        <v>10</v>
      </c>
      <c r="M223" s="7" t="s">
        <v>71</v>
      </c>
      <c r="N223" s="7" t="s">
        <v>84</v>
      </c>
      <c r="O223" s="7" t="s">
        <v>665</v>
      </c>
      <c r="P223" s="13">
        <v>2000.0</v>
      </c>
      <c r="Q223" s="7">
        <v>5.0</v>
      </c>
    </row>
    <row r="224" ht="15.75" customHeight="1">
      <c r="A224" s="5" t="s">
        <v>666</v>
      </c>
      <c r="B224" s="5" t="s">
        <v>429</v>
      </c>
      <c r="C224" s="5">
        <v>33.0</v>
      </c>
      <c r="D224" s="5" t="s">
        <v>92</v>
      </c>
      <c r="E224" s="5" t="s">
        <v>58</v>
      </c>
      <c r="F224" s="5" t="s">
        <v>59</v>
      </c>
      <c r="G224" s="5" t="s">
        <v>69</v>
      </c>
      <c r="H224" s="5">
        <v>9.0</v>
      </c>
      <c r="I224" s="5">
        <v>5.0</v>
      </c>
      <c r="J224" s="5" t="s">
        <v>15</v>
      </c>
      <c r="K224" s="5" t="s">
        <v>82</v>
      </c>
      <c r="L224" s="5" t="s">
        <v>12</v>
      </c>
      <c r="M224" s="5" t="s">
        <v>106</v>
      </c>
      <c r="N224" s="5" t="s">
        <v>72</v>
      </c>
      <c r="O224" s="5" t="s">
        <v>667</v>
      </c>
      <c r="P224" s="12">
        <v>0.0</v>
      </c>
      <c r="Q224" s="5"/>
    </row>
    <row r="225" ht="15.75" customHeight="1">
      <c r="A225" s="7" t="s">
        <v>668</v>
      </c>
      <c r="B225" s="7" t="s">
        <v>669</v>
      </c>
      <c r="C225" s="7">
        <v>40.0</v>
      </c>
      <c r="D225" s="7" t="s">
        <v>57</v>
      </c>
      <c r="E225" s="7" t="s">
        <v>58</v>
      </c>
      <c r="F225" s="7" t="s">
        <v>81</v>
      </c>
      <c r="G225" s="7" t="s">
        <v>60</v>
      </c>
      <c r="H225" s="7">
        <v>9.0</v>
      </c>
      <c r="I225" s="7">
        <v>4.0</v>
      </c>
      <c r="J225" s="7" t="s">
        <v>18</v>
      </c>
      <c r="K225" s="7" t="s">
        <v>166</v>
      </c>
      <c r="L225" s="7" t="s">
        <v>8</v>
      </c>
      <c r="M225" s="7" t="s">
        <v>71</v>
      </c>
      <c r="N225" s="7" t="s">
        <v>152</v>
      </c>
      <c r="O225" s="7" t="s">
        <v>633</v>
      </c>
      <c r="P225" s="13">
        <v>0.0</v>
      </c>
      <c r="Q225" s="7"/>
    </row>
    <row r="226" ht="15.75" customHeight="1">
      <c r="A226" s="5" t="s">
        <v>670</v>
      </c>
      <c r="B226" s="5" t="s">
        <v>671</v>
      </c>
      <c r="C226" s="5">
        <v>40.0</v>
      </c>
      <c r="D226" s="5" t="s">
        <v>92</v>
      </c>
      <c r="E226" s="5" t="s">
        <v>58</v>
      </c>
      <c r="F226" s="5" t="s">
        <v>121</v>
      </c>
      <c r="G226" s="5" t="s">
        <v>60</v>
      </c>
      <c r="H226" s="5">
        <v>23.0</v>
      </c>
      <c r="I226" s="5">
        <v>2.0</v>
      </c>
      <c r="J226" s="5" t="s">
        <v>18</v>
      </c>
      <c r="K226" s="5" t="s">
        <v>88</v>
      </c>
      <c r="L226" s="5" t="s">
        <v>8</v>
      </c>
      <c r="M226" s="5" t="s">
        <v>71</v>
      </c>
      <c r="N226" s="5" t="s">
        <v>84</v>
      </c>
      <c r="O226" s="5" t="s">
        <v>672</v>
      </c>
      <c r="P226" s="12">
        <v>1200.0</v>
      </c>
      <c r="Q226" s="5">
        <v>5.0</v>
      </c>
    </row>
    <row r="227" ht="15.75" customHeight="1">
      <c r="A227" s="7" t="s">
        <v>673</v>
      </c>
      <c r="B227" s="7" t="s">
        <v>674</v>
      </c>
      <c r="C227" s="7">
        <v>32.0</v>
      </c>
      <c r="D227" s="7" t="s">
        <v>92</v>
      </c>
      <c r="E227" s="7" t="s">
        <v>58</v>
      </c>
      <c r="F227" s="7" t="s">
        <v>59</v>
      </c>
      <c r="G227" s="7" t="s">
        <v>60</v>
      </c>
      <c r="H227" s="7">
        <v>29.0</v>
      </c>
      <c r="I227" s="7">
        <v>4.0</v>
      </c>
      <c r="J227" s="7" t="s">
        <v>16</v>
      </c>
      <c r="K227" s="7" t="s">
        <v>102</v>
      </c>
      <c r="L227" s="7" t="s">
        <v>8</v>
      </c>
      <c r="M227" s="7" t="s">
        <v>145</v>
      </c>
      <c r="N227" s="7" t="s">
        <v>84</v>
      </c>
      <c r="O227" s="7" t="s">
        <v>675</v>
      </c>
      <c r="P227" s="13">
        <v>500.0</v>
      </c>
      <c r="Q227" s="7">
        <v>5.0</v>
      </c>
    </row>
    <row r="228" ht="15.75" customHeight="1">
      <c r="A228" s="5" t="s">
        <v>676</v>
      </c>
      <c r="B228" s="5" t="s">
        <v>659</v>
      </c>
      <c r="C228" s="5">
        <v>26.0</v>
      </c>
      <c r="D228" s="5" t="s">
        <v>57</v>
      </c>
      <c r="E228" s="5" t="s">
        <v>58</v>
      </c>
      <c r="F228" s="5" t="s">
        <v>81</v>
      </c>
      <c r="G228" s="5" t="s">
        <v>69</v>
      </c>
      <c r="H228" s="5">
        <v>9.0</v>
      </c>
      <c r="I228" s="5">
        <v>0.0</v>
      </c>
      <c r="J228" s="5" t="s">
        <v>18</v>
      </c>
      <c r="K228" s="5" t="s">
        <v>70</v>
      </c>
      <c r="L228" s="5" t="s">
        <v>8</v>
      </c>
      <c r="M228" s="5" t="s">
        <v>106</v>
      </c>
      <c r="N228" s="5" t="s">
        <v>84</v>
      </c>
      <c r="O228" s="5" t="s">
        <v>677</v>
      </c>
      <c r="P228" s="12">
        <v>500.0</v>
      </c>
      <c r="Q228" s="5">
        <v>5.0</v>
      </c>
    </row>
    <row r="229" ht="15.75" customHeight="1">
      <c r="A229" s="7" t="s">
        <v>678</v>
      </c>
      <c r="B229" s="7" t="s">
        <v>679</v>
      </c>
      <c r="C229" s="7">
        <v>38.0</v>
      </c>
      <c r="D229" s="7" t="s">
        <v>92</v>
      </c>
      <c r="E229" s="7" t="s">
        <v>58</v>
      </c>
      <c r="F229" s="7" t="s">
        <v>81</v>
      </c>
      <c r="G229" s="7" t="s">
        <v>69</v>
      </c>
      <c r="H229" s="7">
        <v>5.0</v>
      </c>
      <c r="I229" s="7">
        <v>0.0</v>
      </c>
      <c r="J229" s="7" t="s">
        <v>18</v>
      </c>
      <c r="K229" s="7" t="s">
        <v>102</v>
      </c>
      <c r="L229" s="7" t="s">
        <v>8</v>
      </c>
      <c r="M229" s="7" t="s">
        <v>71</v>
      </c>
      <c r="N229" s="7" t="s">
        <v>84</v>
      </c>
      <c r="O229" s="7" t="s">
        <v>680</v>
      </c>
      <c r="P229" s="13">
        <v>2000.0</v>
      </c>
      <c r="Q229" s="7">
        <v>4.0</v>
      </c>
    </row>
    <row r="230" ht="15.75" customHeight="1">
      <c r="A230" s="5" t="s">
        <v>681</v>
      </c>
      <c r="B230" s="5" t="s">
        <v>682</v>
      </c>
      <c r="C230" s="5">
        <v>22.0</v>
      </c>
      <c r="D230" s="5" t="s">
        <v>92</v>
      </c>
      <c r="E230" s="5" t="s">
        <v>58</v>
      </c>
      <c r="F230" s="5" t="s">
        <v>59</v>
      </c>
      <c r="G230" s="5" t="s">
        <v>60</v>
      </c>
      <c r="H230" s="5">
        <v>16.0</v>
      </c>
      <c r="I230" s="5">
        <v>1.0</v>
      </c>
      <c r="J230" s="5" t="s">
        <v>18</v>
      </c>
      <c r="K230" s="5" t="s">
        <v>166</v>
      </c>
      <c r="L230" s="5" t="s">
        <v>14</v>
      </c>
      <c r="M230" s="5" t="s">
        <v>62</v>
      </c>
      <c r="N230" s="5" t="s">
        <v>110</v>
      </c>
      <c r="O230" s="5" t="s">
        <v>683</v>
      </c>
      <c r="P230" s="12">
        <v>0.0</v>
      </c>
      <c r="Q230" s="5"/>
    </row>
    <row r="231" ht="15.75" customHeight="1">
      <c r="A231" s="7" t="s">
        <v>684</v>
      </c>
      <c r="B231" s="7" t="s">
        <v>685</v>
      </c>
      <c r="C231" s="7">
        <v>35.0</v>
      </c>
      <c r="D231" s="7" t="s">
        <v>57</v>
      </c>
      <c r="E231" s="7" t="s">
        <v>58</v>
      </c>
      <c r="F231" s="7" t="s">
        <v>76</v>
      </c>
      <c r="G231" s="7" t="s">
        <v>69</v>
      </c>
      <c r="H231" s="7">
        <v>38.0</v>
      </c>
      <c r="I231" s="7">
        <v>4.0</v>
      </c>
      <c r="J231" s="7" t="s">
        <v>16</v>
      </c>
      <c r="K231" s="7" t="s">
        <v>102</v>
      </c>
      <c r="L231" s="7" t="s">
        <v>10</v>
      </c>
      <c r="M231" s="7" t="s">
        <v>106</v>
      </c>
      <c r="N231" s="7" t="s">
        <v>152</v>
      </c>
      <c r="O231" s="7" t="s">
        <v>686</v>
      </c>
      <c r="P231" s="13">
        <v>0.0</v>
      </c>
      <c r="Q231" s="7"/>
    </row>
    <row r="232" ht="15.75" customHeight="1">
      <c r="A232" s="5" t="s">
        <v>687</v>
      </c>
      <c r="B232" s="5" t="s">
        <v>688</v>
      </c>
      <c r="C232" s="5">
        <v>20.0</v>
      </c>
      <c r="D232" s="5" t="s">
        <v>57</v>
      </c>
      <c r="E232" s="5" t="s">
        <v>58</v>
      </c>
      <c r="F232" s="5" t="s">
        <v>121</v>
      </c>
      <c r="G232" s="5" t="s">
        <v>69</v>
      </c>
      <c r="H232" s="5">
        <v>36.0</v>
      </c>
      <c r="I232" s="5">
        <v>0.0</v>
      </c>
      <c r="J232" s="5" t="s">
        <v>9</v>
      </c>
      <c r="K232" s="5" t="s">
        <v>70</v>
      </c>
      <c r="L232" s="5" t="s">
        <v>12</v>
      </c>
      <c r="M232" s="5" t="s">
        <v>83</v>
      </c>
      <c r="N232" s="5" t="s">
        <v>152</v>
      </c>
      <c r="O232" s="5" t="s">
        <v>99</v>
      </c>
      <c r="P232" s="12">
        <v>0.0</v>
      </c>
      <c r="Q232" s="5"/>
    </row>
    <row r="233" ht="15.75" customHeight="1">
      <c r="A233" s="7" t="s">
        <v>689</v>
      </c>
      <c r="B233" s="7" t="s">
        <v>582</v>
      </c>
      <c r="C233" s="7">
        <v>45.0</v>
      </c>
      <c r="D233" s="7" t="s">
        <v>57</v>
      </c>
      <c r="E233" s="7" t="s">
        <v>58</v>
      </c>
      <c r="F233" s="7" t="s">
        <v>93</v>
      </c>
      <c r="G233" s="7" t="s">
        <v>69</v>
      </c>
      <c r="H233" s="7">
        <v>18.0</v>
      </c>
      <c r="I233" s="7">
        <v>8.0</v>
      </c>
      <c r="J233" s="7" t="s">
        <v>7</v>
      </c>
      <c r="K233" s="7" t="s">
        <v>70</v>
      </c>
      <c r="L233" s="7" t="s">
        <v>14</v>
      </c>
      <c r="M233" s="7" t="s">
        <v>106</v>
      </c>
      <c r="N233" s="7" t="s">
        <v>152</v>
      </c>
      <c r="O233" s="7" t="s">
        <v>690</v>
      </c>
      <c r="P233" s="13">
        <v>0.0</v>
      </c>
      <c r="Q233" s="7"/>
    </row>
    <row r="234" ht="15.75" customHeight="1">
      <c r="A234" s="5" t="s">
        <v>691</v>
      </c>
      <c r="B234" s="5" t="s">
        <v>413</v>
      </c>
      <c r="C234" s="5">
        <v>27.0</v>
      </c>
      <c r="D234" s="5" t="s">
        <v>57</v>
      </c>
      <c r="E234" s="5" t="s">
        <v>58</v>
      </c>
      <c r="F234" s="5" t="s">
        <v>162</v>
      </c>
      <c r="G234" s="5" t="s">
        <v>60</v>
      </c>
      <c r="H234" s="5">
        <v>32.0</v>
      </c>
      <c r="I234" s="5">
        <v>7.0</v>
      </c>
      <c r="J234" s="5" t="s">
        <v>16</v>
      </c>
      <c r="K234" s="5" t="s">
        <v>132</v>
      </c>
      <c r="L234" s="5" t="s">
        <v>10</v>
      </c>
      <c r="M234" s="5" t="s">
        <v>83</v>
      </c>
      <c r="N234" s="5" t="s">
        <v>152</v>
      </c>
      <c r="O234" s="5" t="s">
        <v>692</v>
      </c>
      <c r="P234" s="12">
        <v>0.0</v>
      </c>
      <c r="Q234" s="5"/>
    </row>
    <row r="235" ht="15.75" customHeight="1">
      <c r="A235" s="7" t="s">
        <v>693</v>
      </c>
      <c r="B235" s="7" t="s">
        <v>590</v>
      </c>
      <c r="C235" s="7">
        <v>32.0</v>
      </c>
      <c r="D235" s="7" t="s">
        <v>57</v>
      </c>
      <c r="E235" s="7" t="s">
        <v>58</v>
      </c>
      <c r="F235" s="7" t="s">
        <v>59</v>
      </c>
      <c r="G235" s="7" t="s">
        <v>69</v>
      </c>
      <c r="H235" s="7">
        <v>3.0</v>
      </c>
      <c r="I235" s="7">
        <v>1.0</v>
      </c>
      <c r="J235" s="7" t="s">
        <v>9</v>
      </c>
      <c r="K235" s="7" t="s">
        <v>166</v>
      </c>
      <c r="L235" s="7" t="s">
        <v>14</v>
      </c>
      <c r="M235" s="7" t="s">
        <v>71</v>
      </c>
      <c r="N235" s="7" t="s">
        <v>110</v>
      </c>
      <c r="O235" s="7" t="s">
        <v>694</v>
      </c>
      <c r="P235" s="13">
        <v>0.0</v>
      </c>
      <c r="Q235" s="7"/>
    </row>
    <row r="236" ht="15.75" customHeight="1">
      <c r="A236" s="5" t="s">
        <v>695</v>
      </c>
      <c r="B236" s="5" t="s">
        <v>410</v>
      </c>
      <c r="C236" s="5">
        <v>30.0</v>
      </c>
      <c r="D236" s="5" t="s">
        <v>92</v>
      </c>
      <c r="E236" s="5" t="s">
        <v>179</v>
      </c>
      <c r="F236" s="5" t="s">
        <v>68</v>
      </c>
      <c r="G236" s="5" t="s">
        <v>60</v>
      </c>
      <c r="H236" s="5">
        <v>18.0</v>
      </c>
      <c r="I236" s="5">
        <v>5.0</v>
      </c>
      <c r="J236" s="5" t="s">
        <v>13</v>
      </c>
      <c r="K236" s="5" t="s">
        <v>128</v>
      </c>
      <c r="L236" s="5" t="s">
        <v>12</v>
      </c>
      <c r="M236" s="5" t="s">
        <v>145</v>
      </c>
      <c r="N236" s="5" t="s">
        <v>72</v>
      </c>
      <c r="O236" s="5" t="s">
        <v>696</v>
      </c>
      <c r="P236" s="12">
        <v>0.0</v>
      </c>
      <c r="Q236" s="5"/>
    </row>
    <row r="237" ht="15.75" customHeight="1">
      <c r="A237" s="7" t="s">
        <v>697</v>
      </c>
      <c r="B237" s="7" t="s">
        <v>384</v>
      </c>
      <c r="C237" s="7">
        <v>28.0</v>
      </c>
      <c r="D237" s="7" t="s">
        <v>92</v>
      </c>
      <c r="E237" s="7" t="s">
        <v>58</v>
      </c>
      <c r="F237" s="7" t="s">
        <v>141</v>
      </c>
      <c r="G237" s="7" t="s">
        <v>69</v>
      </c>
      <c r="H237" s="7">
        <v>24.0</v>
      </c>
      <c r="I237" s="7">
        <v>1.0</v>
      </c>
      <c r="J237" s="7" t="s">
        <v>17</v>
      </c>
      <c r="K237" s="7" t="s">
        <v>82</v>
      </c>
      <c r="L237" s="7" t="s">
        <v>14</v>
      </c>
      <c r="M237" s="7" t="s">
        <v>71</v>
      </c>
      <c r="N237" s="7" t="s">
        <v>152</v>
      </c>
      <c r="O237" s="7" t="s">
        <v>698</v>
      </c>
      <c r="P237" s="13">
        <v>0.0</v>
      </c>
      <c r="Q237" s="7"/>
    </row>
    <row r="238" ht="15.75" customHeight="1">
      <c r="A238" s="5" t="s">
        <v>699</v>
      </c>
      <c r="B238" s="5" t="s">
        <v>505</v>
      </c>
      <c r="C238" s="5">
        <v>25.0</v>
      </c>
      <c r="D238" s="5" t="s">
        <v>57</v>
      </c>
      <c r="E238" s="5" t="s">
        <v>58</v>
      </c>
      <c r="F238" s="5" t="s">
        <v>121</v>
      </c>
      <c r="G238" s="5" t="s">
        <v>60</v>
      </c>
      <c r="H238" s="5">
        <v>35.0</v>
      </c>
      <c r="I238" s="5">
        <v>7.0</v>
      </c>
      <c r="J238" s="5" t="s">
        <v>11</v>
      </c>
      <c r="K238" s="5" t="s">
        <v>61</v>
      </c>
      <c r="L238" s="5" t="s">
        <v>14</v>
      </c>
      <c r="M238" s="5" t="s">
        <v>83</v>
      </c>
      <c r="N238" s="5" t="s">
        <v>63</v>
      </c>
      <c r="O238" s="5" t="s">
        <v>700</v>
      </c>
      <c r="P238" s="12">
        <v>0.0</v>
      </c>
      <c r="Q238" s="5"/>
    </row>
    <row r="239" ht="15.75" customHeight="1">
      <c r="A239" s="7" t="s">
        <v>701</v>
      </c>
      <c r="B239" s="7" t="s">
        <v>478</v>
      </c>
      <c r="C239" s="7">
        <v>36.0</v>
      </c>
      <c r="D239" s="7" t="s">
        <v>92</v>
      </c>
      <c r="E239" s="7" t="s">
        <v>58</v>
      </c>
      <c r="F239" s="7" t="s">
        <v>141</v>
      </c>
      <c r="G239" s="7" t="s">
        <v>60</v>
      </c>
      <c r="H239" s="7">
        <v>18.0</v>
      </c>
      <c r="I239" s="7">
        <v>8.0</v>
      </c>
      <c r="J239" s="7" t="s">
        <v>15</v>
      </c>
      <c r="K239" s="7" t="s">
        <v>70</v>
      </c>
      <c r="L239" s="7" t="s">
        <v>14</v>
      </c>
      <c r="M239" s="7" t="s">
        <v>71</v>
      </c>
      <c r="N239" s="7" t="s">
        <v>84</v>
      </c>
      <c r="O239" s="7" t="s">
        <v>702</v>
      </c>
      <c r="P239" s="13">
        <v>350.0</v>
      </c>
      <c r="Q239" s="7">
        <v>5.0</v>
      </c>
    </row>
    <row r="240" ht="15.75" customHeight="1">
      <c r="A240" s="5" t="s">
        <v>703</v>
      </c>
      <c r="B240" s="5" t="s">
        <v>704</v>
      </c>
      <c r="C240" s="5">
        <v>28.0</v>
      </c>
      <c r="D240" s="5" t="s">
        <v>92</v>
      </c>
      <c r="E240" s="5" t="s">
        <v>58</v>
      </c>
      <c r="F240" s="5" t="s">
        <v>93</v>
      </c>
      <c r="G240" s="5" t="s">
        <v>69</v>
      </c>
      <c r="H240" s="5">
        <v>9.0</v>
      </c>
      <c r="I240" s="5">
        <v>2.0</v>
      </c>
      <c r="J240" s="5" t="s">
        <v>7</v>
      </c>
      <c r="K240" s="5" t="s">
        <v>166</v>
      </c>
      <c r="L240" s="5" t="s">
        <v>12</v>
      </c>
      <c r="M240" s="5" t="s">
        <v>83</v>
      </c>
      <c r="N240" s="5" t="s">
        <v>152</v>
      </c>
      <c r="O240" s="5" t="s">
        <v>705</v>
      </c>
      <c r="P240" s="12">
        <v>0.0</v>
      </c>
      <c r="Q240" s="5"/>
    </row>
    <row r="241" ht="15.75" customHeight="1">
      <c r="A241" s="7" t="s">
        <v>706</v>
      </c>
      <c r="B241" s="7" t="s">
        <v>218</v>
      </c>
      <c r="C241" s="7">
        <v>28.0</v>
      </c>
      <c r="D241" s="7" t="s">
        <v>57</v>
      </c>
      <c r="E241" s="7" t="s">
        <v>58</v>
      </c>
      <c r="F241" s="7" t="s">
        <v>141</v>
      </c>
      <c r="G241" s="7" t="s">
        <v>60</v>
      </c>
      <c r="H241" s="7">
        <v>11.0</v>
      </c>
      <c r="I241" s="7">
        <v>2.0</v>
      </c>
      <c r="J241" s="7" t="s">
        <v>15</v>
      </c>
      <c r="K241" s="7" t="s">
        <v>61</v>
      </c>
      <c r="L241" s="7" t="s">
        <v>14</v>
      </c>
      <c r="M241" s="7" t="s">
        <v>106</v>
      </c>
      <c r="N241" s="7" t="s">
        <v>84</v>
      </c>
      <c r="O241" s="7" t="s">
        <v>707</v>
      </c>
      <c r="P241" s="13">
        <v>350.0</v>
      </c>
      <c r="Q241" s="7">
        <v>5.0</v>
      </c>
    </row>
    <row r="242" ht="15.75" customHeight="1">
      <c r="A242" s="5" t="s">
        <v>708</v>
      </c>
      <c r="B242" s="5" t="s">
        <v>229</v>
      </c>
      <c r="C242" s="5">
        <v>45.0</v>
      </c>
      <c r="D242" s="5" t="s">
        <v>92</v>
      </c>
      <c r="E242" s="5" t="s">
        <v>58</v>
      </c>
      <c r="F242" s="5" t="s">
        <v>121</v>
      </c>
      <c r="G242" s="5" t="s">
        <v>69</v>
      </c>
      <c r="H242" s="5">
        <v>37.0</v>
      </c>
      <c r="I242" s="5">
        <v>4.0</v>
      </c>
      <c r="J242" s="5" t="s">
        <v>16</v>
      </c>
      <c r="K242" s="5" t="s">
        <v>94</v>
      </c>
      <c r="L242" s="5" t="s">
        <v>8</v>
      </c>
      <c r="M242" s="5" t="s">
        <v>71</v>
      </c>
      <c r="N242" s="5" t="s">
        <v>84</v>
      </c>
      <c r="O242" s="5" t="s">
        <v>709</v>
      </c>
      <c r="P242" s="12">
        <v>250.0</v>
      </c>
      <c r="Q242" s="5">
        <v>5.0</v>
      </c>
    </row>
    <row r="243" ht="15.75" customHeight="1">
      <c r="A243" s="7" t="s">
        <v>710</v>
      </c>
      <c r="B243" s="7" t="s">
        <v>711</v>
      </c>
      <c r="C243" s="7">
        <v>29.0</v>
      </c>
      <c r="D243" s="7" t="s">
        <v>92</v>
      </c>
      <c r="E243" s="7" t="s">
        <v>58</v>
      </c>
      <c r="F243" s="7" t="s">
        <v>141</v>
      </c>
      <c r="G243" s="7" t="s">
        <v>60</v>
      </c>
      <c r="H243" s="7">
        <v>8.0</v>
      </c>
      <c r="I243" s="7">
        <v>7.0</v>
      </c>
      <c r="J243" s="7" t="s">
        <v>15</v>
      </c>
      <c r="K243" s="7" t="s">
        <v>94</v>
      </c>
      <c r="L243" s="7" t="s">
        <v>8</v>
      </c>
      <c r="M243" s="7" t="s">
        <v>62</v>
      </c>
      <c r="N243" s="7" t="s">
        <v>84</v>
      </c>
      <c r="O243" s="7" t="s">
        <v>712</v>
      </c>
      <c r="P243" s="13">
        <v>3500.0</v>
      </c>
      <c r="Q243" s="7">
        <v>5.0</v>
      </c>
    </row>
    <row r="244" ht="15.75" customHeight="1">
      <c r="A244" s="5" t="s">
        <v>713</v>
      </c>
      <c r="B244" s="5" t="s">
        <v>238</v>
      </c>
      <c r="C244" s="5">
        <v>33.0</v>
      </c>
      <c r="D244" s="5" t="s">
        <v>92</v>
      </c>
      <c r="E244" s="5" t="s">
        <v>58</v>
      </c>
      <c r="F244" s="5" t="s">
        <v>98</v>
      </c>
      <c r="G244" s="5" t="s">
        <v>60</v>
      </c>
      <c r="H244" s="5">
        <v>39.0</v>
      </c>
      <c r="I244" s="5">
        <v>4.0</v>
      </c>
      <c r="J244" s="5" t="s">
        <v>7</v>
      </c>
      <c r="K244" s="5" t="s">
        <v>70</v>
      </c>
      <c r="L244" s="5" t="s">
        <v>14</v>
      </c>
      <c r="M244" s="5" t="s">
        <v>145</v>
      </c>
      <c r="N244" s="5" t="s">
        <v>84</v>
      </c>
      <c r="O244" s="5" t="s">
        <v>714</v>
      </c>
      <c r="P244" s="12">
        <v>1200.0</v>
      </c>
      <c r="Q244" s="5">
        <v>3.0</v>
      </c>
    </row>
    <row r="245" ht="15.75" customHeight="1">
      <c r="A245" s="7" t="s">
        <v>715</v>
      </c>
      <c r="B245" s="7" t="s">
        <v>131</v>
      </c>
      <c r="C245" s="7">
        <v>21.0</v>
      </c>
      <c r="D245" s="7" t="s">
        <v>57</v>
      </c>
      <c r="E245" s="7" t="s">
        <v>58</v>
      </c>
      <c r="F245" s="7" t="s">
        <v>141</v>
      </c>
      <c r="G245" s="7" t="s">
        <v>60</v>
      </c>
      <c r="H245" s="7">
        <v>37.0</v>
      </c>
      <c r="I245" s="7">
        <v>6.0</v>
      </c>
      <c r="J245" s="7" t="s">
        <v>9</v>
      </c>
      <c r="K245" s="7" t="s">
        <v>82</v>
      </c>
      <c r="L245" s="7" t="s">
        <v>12</v>
      </c>
      <c r="M245" s="7" t="s">
        <v>83</v>
      </c>
      <c r="N245" s="7" t="s">
        <v>84</v>
      </c>
      <c r="O245" s="7" t="s">
        <v>716</v>
      </c>
      <c r="P245" s="13">
        <v>2000.0</v>
      </c>
      <c r="Q245" s="7">
        <v>5.0</v>
      </c>
    </row>
    <row r="246" ht="15.75" customHeight="1">
      <c r="A246" s="5" t="s">
        <v>717</v>
      </c>
      <c r="B246" s="5" t="s">
        <v>688</v>
      </c>
      <c r="C246" s="5">
        <v>24.0</v>
      </c>
      <c r="D246" s="5" t="s">
        <v>57</v>
      </c>
      <c r="E246" s="5" t="s">
        <v>58</v>
      </c>
      <c r="F246" s="5" t="s">
        <v>81</v>
      </c>
      <c r="G246" s="5" t="s">
        <v>60</v>
      </c>
      <c r="H246" s="5">
        <v>12.0</v>
      </c>
      <c r="I246" s="5">
        <v>1.0</v>
      </c>
      <c r="J246" s="5" t="s">
        <v>13</v>
      </c>
      <c r="K246" s="5" t="s">
        <v>88</v>
      </c>
      <c r="L246" s="5" t="s">
        <v>8</v>
      </c>
      <c r="M246" s="5" t="s">
        <v>71</v>
      </c>
      <c r="N246" s="5" t="s">
        <v>152</v>
      </c>
      <c r="O246" s="5" t="s">
        <v>718</v>
      </c>
      <c r="P246" s="12">
        <v>0.0</v>
      </c>
      <c r="Q246" s="5"/>
    </row>
    <row r="247" ht="15.75" customHeight="1">
      <c r="A247" s="7" t="s">
        <v>719</v>
      </c>
      <c r="B247" s="7" t="s">
        <v>332</v>
      </c>
      <c r="C247" s="7">
        <v>27.0</v>
      </c>
      <c r="D247" s="7" t="s">
        <v>92</v>
      </c>
      <c r="E247" s="7" t="s">
        <v>58</v>
      </c>
      <c r="F247" s="7" t="s">
        <v>162</v>
      </c>
      <c r="G247" s="7" t="s">
        <v>60</v>
      </c>
      <c r="H247" s="7">
        <v>27.0</v>
      </c>
      <c r="I247" s="7">
        <v>1.0</v>
      </c>
      <c r="J247" s="7" t="s">
        <v>15</v>
      </c>
      <c r="K247" s="7" t="s">
        <v>166</v>
      </c>
      <c r="L247" s="7" t="s">
        <v>10</v>
      </c>
      <c r="M247" s="7" t="s">
        <v>62</v>
      </c>
      <c r="N247" s="7" t="s">
        <v>84</v>
      </c>
      <c r="O247" s="7" t="s">
        <v>720</v>
      </c>
      <c r="P247" s="13">
        <v>1200.0</v>
      </c>
      <c r="Q247" s="7">
        <v>2.0</v>
      </c>
    </row>
    <row r="248" ht="15.75" customHeight="1">
      <c r="A248" s="5" t="s">
        <v>721</v>
      </c>
      <c r="B248" s="5" t="s">
        <v>339</v>
      </c>
      <c r="C248" s="5">
        <v>36.0</v>
      </c>
      <c r="D248" s="5" t="s">
        <v>57</v>
      </c>
      <c r="E248" s="5" t="s">
        <v>114</v>
      </c>
      <c r="F248" s="5" t="s">
        <v>68</v>
      </c>
      <c r="G248" s="5" t="s">
        <v>69</v>
      </c>
      <c r="H248" s="5">
        <v>5.0</v>
      </c>
      <c r="I248" s="5">
        <v>2.0</v>
      </c>
      <c r="J248" s="5" t="s">
        <v>7</v>
      </c>
      <c r="K248" s="5" t="s">
        <v>166</v>
      </c>
      <c r="L248" s="5" t="s">
        <v>14</v>
      </c>
      <c r="M248" s="5" t="s">
        <v>62</v>
      </c>
      <c r="N248" s="5" t="s">
        <v>63</v>
      </c>
      <c r="O248" s="5" t="s">
        <v>722</v>
      </c>
      <c r="P248" s="12">
        <v>0.0</v>
      </c>
      <c r="Q248" s="5"/>
    </row>
    <row r="249" ht="15.75" customHeight="1">
      <c r="A249" s="7" t="s">
        <v>723</v>
      </c>
      <c r="B249" s="7" t="s">
        <v>724</v>
      </c>
      <c r="C249" s="7">
        <v>34.0</v>
      </c>
      <c r="D249" s="7" t="s">
        <v>92</v>
      </c>
      <c r="E249" s="7" t="s">
        <v>58</v>
      </c>
      <c r="F249" s="7" t="s">
        <v>98</v>
      </c>
      <c r="G249" s="7" t="s">
        <v>69</v>
      </c>
      <c r="H249" s="7">
        <v>10.0</v>
      </c>
      <c r="I249" s="7">
        <v>7.0</v>
      </c>
      <c r="J249" s="7" t="s">
        <v>13</v>
      </c>
      <c r="K249" s="7" t="s">
        <v>94</v>
      </c>
      <c r="L249" s="7" t="s">
        <v>10</v>
      </c>
      <c r="M249" s="7" t="s">
        <v>71</v>
      </c>
      <c r="N249" s="7" t="s">
        <v>63</v>
      </c>
      <c r="O249" s="7" t="s">
        <v>725</v>
      </c>
      <c r="P249" s="13">
        <v>0.0</v>
      </c>
      <c r="Q249" s="7"/>
    </row>
    <row r="250" ht="15.75" customHeight="1">
      <c r="A250" s="5" t="s">
        <v>726</v>
      </c>
      <c r="B250" s="5" t="s">
        <v>511</v>
      </c>
      <c r="C250" s="5">
        <v>23.0</v>
      </c>
      <c r="D250" s="5" t="s">
        <v>92</v>
      </c>
      <c r="E250" s="5" t="s">
        <v>58</v>
      </c>
      <c r="F250" s="5" t="s">
        <v>141</v>
      </c>
      <c r="G250" s="5" t="s">
        <v>60</v>
      </c>
      <c r="H250" s="5">
        <v>10.0</v>
      </c>
      <c r="I250" s="5">
        <v>8.0</v>
      </c>
      <c r="J250" s="5" t="s">
        <v>15</v>
      </c>
      <c r="K250" s="5" t="s">
        <v>70</v>
      </c>
      <c r="L250" s="5" t="s">
        <v>10</v>
      </c>
      <c r="M250" s="5" t="s">
        <v>145</v>
      </c>
      <c r="N250" s="5" t="s">
        <v>152</v>
      </c>
      <c r="O250" s="5" t="s">
        <v>727</v>
      </c>
      <c r="P250" s="12">
        <v>0.0</v>
      </c>
      <c r="Q250" s="5"/>
    </row>
    <row r="251" ht="15.75" customHeight="1">
      <c r="A251" s="7" t="s">
        <v>728</v>
      </c>
      <c r="B251" s="7" t="s">
        <v>629</v>
      </c>
      <c r="C251" s="7">
        <v>27.0</v>
      </c>
      <c r="D251" s="7" t="s">
        <v>92</v>
      </c>
      <c r="E251" s="7" t="s">
        <v>58</v>
      </c>
      <c r="F251" s="7" t="s">
        <v>76</v>
      </c>
      <c r="G251" s="7" t="s">
        <v>69</v>
      </c>
      <c r="H251" s="7">
        <v>21.0</v>
      </c>
      <c r="I251" s="7">
        <v>6.0</v>
      </c>
      <c r="J251" s="7" t="s">
        <v>15</v>
      </c>
      <c r="K251" s="7" t="s">
        <v>102</v>
      </c>
      <c r="L251" s="7" t="s">
        <v>12</v>
      </c>
      <c r="M251" s="7" t="s">
        <v>62</v>
      </c>
      <c r="N251" s="7" t="s">
        <v>77</v>
      </c>
      <c r="O251" s="7" t="s">
        <v>729</v>
      </c>
      <c r="P251" s="13">
        <v>0.0</v>
      </c>
      <c r="Q251" s="7"/>
    </row>
    <row r="252" ht="15.75" customHeight="1">
      <c r="A252" s="5" t="s">
        <v>730</v>
      </c>
      <c r="B252" s="5" t="s">
        <v>339</v>
      </c>
      <c r="C252" s="5">
        <v>34.0</v>
      </c>
      <c r="D252" s="5" t="s">
        <v>57</v>
      </c>
      <c r="E252" s="5" t="s">
        <v>58</v>
      </c>
      <c r="F252" s="5" t="s">
        <v>162</v>
      </c>
      <c r="G252" s="5" t="s">
        <v>60</v>
      </c>
      <c r="H252" s="5">
        <v>24.0</v>
      </c>
      <c r="I252" s="5">
        <v>4.0</v>
      </c>
      <c r="J252" s="5" t="s">
        <v>16</v>
      </c>
      <c r="K252" s="5" t="s">
        <v>166</v>
      </c>
      <c r="L252" s="5" t="s">
        <v>10</v>
      </c>
      <c r="M252" s="5" t="s">
        <v>106</v>
      </c>
      <c r="N252" s="5" t="s">
        <v>63</v>
      </c>
      <c r="O252" s="5" t="s">
        <v>731</v>
      </c>
      <c r="P252" s="12">
        <v>0.0</v>
      </c>
      <c r="Q252" s="5"/>
    </row>
    <row r="253" ht="15.75" customHeight="1">
      <c r="A253" s="7" t="s">
        <v>732</v>
      </c>
      <c r="B253" s="7" t="s">
        <v>733</v>
      </c>
      <c r="C253" s="7">
        <v>39.0</v>
      </c>
      <c r="D253" s="7" t="s">
        <v>57</v>
      </c>
      <c r="E253" s="7" t="s">
        <v>58</v>
      </c>
      <c r="F253" s="7" t="s">
        <v>76</v>
      </c>
      <c r="G253" s="7" t="s">
        <v>69</v>
      </c>
      <c r="H253" s="7">
        <v>26.0</v>
      </c>
      <c r="I253" s="7">
        <v>0.0</v>
      </c>
      <c r="J253" s="7" t="s">
        <v>15</v>
      </c>
      <c r="K253" s="7" t="s">
        <v>94</v>
      </c>
      <c r="L253" s="7" t="s">
        <v>8</v>
      </c>
      <c r="M253" s="7" t="s">
        <v>145</v>
      </c>
      <c r="N253" s="7" t="s">
        <v>77</v>
      </c>
      <c r="O253" s="7" t="s">
        <v>734</v>
      </c>
      <c r="P253" s="13">
        <v>0.0</v>
      </c>
      <c r="Q253" s="7"/>
    </row>
    <row r="254" ht="15.75" customHeight="1">
      <c r="A254" s="5" t="s">
        <v>735</v>
      </c>
      <c r="B254" s="5" t="s">
        <v>212</v>
      </c>
      <c r="C254" s="5">
        <v>24.0</v>
      </c>
      <c r="D254" s="5" t="s">
        <v>57</v>
      </c>
      <c r="E254" s="5" t="s">
        <v>58</v>
      </c>
      <c r="F254" s="5" t="s">
        <v>98</v>
      </c>
      <c r="G254" s="5" t="s">
        <v>69</v>
      </c>
      <c r="H254" s="5">
        <v>8.0</v>
      </c>
      <c r="I254" s="5">
        <v>7.0</v>
      </c>
      <c r="J254" s="5" t="s">
        <v>9</v>
      </c>
      <c r="K254" s="5" t="s">
        <v>102</v>
      </c>
      <c r="L254" s="5" t="s">
        <v>8</v>
      </c>
      <c r="M254" s="5" t="s">
        <v>106</v>
      </c>
      <c r="N254" s="5" t="s">
        <v>84</v>
      </c>
      <c r="O254" s="5" t="s">
        <v>736</v>
      </c>
      <c r="P254" s="12">
        <v>500.0</v>
      </c>
      <c r="Q254" s="5">
        <v>5.0</v>
      </c>
    </row>
    <row r="255" ht="15.75" customHeight="1">
      <c r="A255" s="7" t="s">
        <v>737</v>
      </c>
      <c r="B255" s="7" t="s">
        <v>738</v>
      </c>
      <c r="C255" s="7">
        <v>38.0</v>
      </c>
      <c r="D255" s="7" t="s">
        <v>57</v>
      </c>
      <c r="E255" s="7" t="s">
        <v>58</v>
      </c>
      <c r="F255" s="7" t="s">
        <v>81</v>
      </c>
      <c r="G255" s="7" t="s">
        <v>60</v>
      </c>
      <c r="H255" s="7">
        <v>3.0</v>
      </c>
      <c r="I255" s="7">
        <v>3.0</v>
      </c>
      <c r="J255" s="7" t="s">
        <v>11</v>
      </c>
      <c r="K255" s="7" t="s">
        <v>61</v>
      </c>
      <c r="L255" s="7" t="s">
        <v>10</v>
      </c>
      <c r="M255" s="7" t="s">
        <v>83</v>
      </c>
      <c r="N255" s="7" t="s">
        <v>77</v>
      </c>
      <c r="O255" s="7" t="s">
        <v>739</v>
      </c>
      <c r="P255" s="13">
        <v>0.0</v>
      </c>
      <c r="Q255" s="7"/>
    </row>
    <row r="256" ht="15.75" customHeight="1">
      <c r="A256" s="5" t="s">
        <v>740</v>
      </c>
      <c r="B256" s="5" t="s">
        <v>105</v>
      </c>
      <c r="C256" s="5">
        <v>36.0</v>
      </c>
      <c r="D256" s="5" t="s">
        <v>57</v>
      </c>
      <c r="E256" s="5" t="s">
        <v>58</v>
      </c>
      <c r="F256" s="5" t="s">
        <v>81</v>
      </c>
      <c r="G256" s="5" t="s">
        <v>60</v>
      </c>
      <c r="H256" s="5">
        <v>21.0</v>
      </c>
      <c r="I256" s="5">
        <v>2.0</v>
      </c>
      <c r="J256" s="5" t="s">
        <v>17</v>
      </c>
      <c r="K256" s="5" t="s">
        <v>102</v>
      </c>
      <c r="L256" s="5" t="s">
        <v>10</v>
      </c>
      <c r="M256" s="5" t="s">
        <v>71</v>
      </c>
      <c r="N256" s="5" t="s">
        <v>152</v>
      </c>
      <c r="O256" s="5" t="s">
        <v>741</v>
      </c>
      <c r="P256" s="12">
        <v>0.0</v>
      </c>
      <c r="Q256" s="5"/>
    </row>
    <row r="257" ht="15.75" customHeight="1">
      <c r="A257" s="7" t="s">
        <v>742</v>
      </c>
      <c r="B257" s="7" t="s">
        <v>743</v>
      </c>
      <c r="C257" s="7">
        <v>48.0</v>
      </c>
      <c r="D257" s="7" t="s">
        <v>92</v>
      </c>
      <c r="E257" s="7" t="s">
        <v>67</v>
      </c>
      <c r="F257" s="7" t="s">
        <v>68</v>
      </c>
      <c r="G257" s="7" t="s">
        <v>69</v>
      </c>
      <c r="H257" s="7">
        <v>19.0</v>
      </c>
      <c r="I257" s="7">
        <v>3.0</v>
      </c>
      <c r="J257" s="7" t="s">
        <v>11</v>
      </c>
      <c r="K257" s="7" t="s">
        <v>61</v>
      </c>
      <c r="L257" s="7" t="s">
        <v>8</v>
      </c>
      <c r="M257" s="7" t="s">
        <v>62</v>
      </c>
      <c r="N257" s="7" t="s">
        <v>84</v>
      </c>
      <c r="O257" s="7" t="s">
        <v>744</v>
      </c>
      <c r="P257" s="13">
        <v>250.0</v>
      </c>
      <c r="Q257" s="7">
        <v>5.0</v>
      </c>
    </row>
    <row r="258" ht="15.75" customHeight="1">
      <c r="A258" s="5" t="s">
        <v>745</v>
      </c>
      <c r="B258" s="5" t="s">
        <v>679</v>
      </c>
      <c r="C258" s="5">
        <v>31.0</v>
      </c>
      <c r="D258" s="5" t="s">
        <v>92</v>
      </c>
      <c r="E258" s="5" t="s">
        <v>114</v>
      </c>
      <c r="F258" s="5" t="s">
        <v>68</v>
      </c>
      <c r="G258" s="5" t="s">
        <v>69</v>
      </c>
      <c r="H258" s="5">
        <v>13.0</v>
      </c>
      <c r="I258" s="5">
        <v>2.0</v>
      </c>
      <c r="J258" s="5" t="s">
        <v>17</v>
      </c>
      <c r="K258" s="5" t="s">
        <v>88</v>
      </c>
      <c r="L258" s="5" t="s">
        <v>12</v>
      </c>
      <c r="M258" s="5" t="s">
        <v>71</v>
      </c>
      <c r="N258" s="5" t="s">
        <v>77</v>
      </c>
      <c r="O258" s="5" t="s">
        <v>746</v>
      </c>
      <c r="P258" s="12">
        <v>0.0</v>
      </c>
      <c r="Q258" s="5"/>
    </row>
    <row r="259" ht="15.75" customHeight="1">
      <c r="A259" s="7" t="s">
        <v>747</v>
      </c>
      <c r="B259" s="7" t="s">
        <v>201</v>
      </c>
      <c r="C259" s="7">
        <v>30.0</v>
      </c>
      <c r="D259" s="7" t="s">
        <v>57</v>
      </c>
      <c r="E259" s="7" t="s">
        <v>58</v>
      </c>
      <c r="F259" s="7" t="s">
        <v>81</v>
      </c>
      <c r="G259" s="7" t="s">
        <v>69</v>
      </c>
      <c r="H259" s="7">
        <v>4.0</v>
      </c>
      <c r="I259" s="7">
        <v>7.0</v>
      </c>
      <c r="J259" s="7" t="s">
        <v>16</v>
      </c>
      <c r="K259" s="7" t="s">
        <v>166</v>
      </c>
      <c r="L259" s="7" t="s">
        <v>12</v>
      </c>
      <c r="M259" s="7" t="s">
        <v>62</v>
      </c>
      <c r="N259" s="7" t="s">
        <v>152</v>
      </c>
      <c r="O259" s="7" t="s">
        <v>748</v>
      </c>
      <c r="P259" s="13">
        <v>0.0</v>
      </c>
      <c r="Q259" s="7"/>
    </row>
    <row r="260" ht="15.75" customHeight="1">
      <c r="A260" s="5" t="s">
        <v>749</v>
      </c>
      <c r="B260" s="5" t="s">
        <v>155</v>
      </c>
      <c r="C260" s="5">
        <v>44.0</v>
      </c>
      <c r="D260" s="5" t="s">
        <v>92</v>
      </c>
      <c r="E260" s="5" t="s">
        <v>179</v>
      </c>
      <c r="F260" s="5" t="s">
        <v>68</v>
      </c>
      <c r="G260" s="5" t="s">
        <v>60</v>
      </c>
      <c r="H260" s="5">
        <v>34.0</v>
      </c>
      <c r="I260" s="5">
        <v>4.0</v>
      </c>
      <c r="J260" s="5" t="s">
        <v>11</v>
      </c>
      <c r="K260" s="5" t="s">
        <v>102</v>
      </c>
      <c r="L260" s="5" t="s">
        <v>12</v>
      </c>
      <c r="M260" s="5" t="s">
        <v>71</v>
      </c>
      <c r="N260" s="5" t="s">
        <v>133</v>
      </c>
      <c r="O260" s="5" t="s">
        <v>750</v>
      </c>
      <c r="P260" s="12">
        <v>0.0</v>
      </c>
      <c r="Q260" s="5"/>
    </row>
    <row r="261" ht="15.75" customHeight="1">
      <c r="A261" s="7" t="s">
        <v>751</v>
      </c>
      <c r="B261" s="7" t="s">
        <v>260</v>
      </c>
      <c r="C261" s="7">
        <v>34.0</v>
      </c>
      <c r="D261" s="7" t="s">
        <v>92</v>
      </c>
      <c r="E261" s="7" t="s">
        <v>58</v>
      </c>
      <c r="F261" s="7" t="s">
        <v>141</v>
      </c>
      <c r="G261" s="7" t="s">
        <v>69</v>
      </c>
      <c r="H261" s="7">
        <v>24.0</v>
      </c>
      <c r="I261" s="7">
        <v>1.0</v>
      </c>
      <c r="J261" s="7" t="s">
        <v>15</v>
      </c>
      <c r="K261" s="7" t="s">
        <v>94</v>
      </c>
      <c r="L261" s="7" t="s">
        <v>10</v>
      </c>
      <c r="M261" s="7" t="s">
        <v>83</v>
      </c>
      <c r="N261" s="7" t="s">
        <v>152</v>
      </c>
      <c r="O261" s="7" t="s">
        <v>752</v>
      </c>
      <c r="P261" s="13">
        <v>0.0</v>
      </c>
      <c r="Q261" s="7"/>
    </row>
    <row r="262" ht="15.75" customHeight="1">
      <c r="A262" s="5" t="s">
        <v>753</v>
      </c>
      <c r="B262" s="5" t="s">
        <v>754</v>
      </c>
      <c r="C262" s="5">
        <v>43.0</v>
      </c>
      <c r="D262" s="5" t="s">
        <v>92</v>
      </c>
      <c r="E262" s="5" t="s">
        <v>67</v>
      </c>
      <c r="F262" s="5" t="s">
        <v>68</v>
      </c>
      <c r="G262" s="5" t="s">
        <v>69</v>
      </c>
      <c r="H262" s="5">
        <v>28.0</v>
      </c>
      <c r="I262" s="5">
        <v>0.0</v>
      </c>
      <c r="J262" s="5" t="s">
        <v>9</v>
      </c>
      <c r="K262" s="5" t="s">
        <v>70</v>
      </c>
      <c r="L262" s="5" t="s">
        <v>12</v>
      </c>
      <c r="M262" s="5" t="s">
        <v>145</v>
      </c>
      <c r="N262" s="5" t="s">
        <v>77</v>
      </c>
      <c r="O262" s="5" t="s">
        <v>755</v>
      </c>
      <c r="P262" s="12">
        <v>0.0</v>
      </c>
      <c r="Q262" s="5"/>
    </row>
    <row r="263" ht="15.75" customHeight="1">
      <c r="A263" s="7" t="s">
        <v>756</v>
      </c>
      <c r="B263" s="7" t="s">
        <v>757</v>
      </c>
      <c r="C263" s="7">
        <v>37.0</v>
      </c>
      <c r="D263" s="7" t="s">
        <v>92</v>
      </c>
      <c r="E263" s="7" t="s">
        <v>58</v>
      </c>
      <c r="F263" s="7" t="s">
        <v>98</v>
      </c>
      <c r="G263" s="7" t="s">
        <v>60</v>
      </c>
      <c r="H263" s="7">
        <v>39.0</v>
      </c>
      <c r="I263" s="7">
        <v>2.0</v>
      </c>
      <c r="J263" s="7" t="s">
        <v>7</v>
      </c>
      <c r="K263" s="7" t="s">
        <v>94</v>
      </c>
      <c r="L263" s="7" t="s">
        <v>8</v>
      </c>
      <c r="M263" s="7" t="s">
        <v>145</v>
      </c>
      <c r="N263" s="7" t="s">
        <v>110</v>
      </c>
      <c r="O263" s="7" t="s">
        <v>758</v>
      </c>
      <c r="P263" s="13">
        <v>0.0</v>
      </c>
      <c r="Q263" s="7"/>
    </row>
    <row r="264" ht="15.75" customHeight="1">
      <c r="A264" s="5" t="s">
        <v>759</v>
      </c>
      <c r="B264" s="5" t="s">
        <v>582</v>
      </c>
      <c r="C264" s="5">
        <v>37.0</v>
      </c>
      <c r="D264" s="5" t="s">
        <v>57</v>
      </c>
      <c r="E264" s="5" t="s">
        <v>58</v>
      </c>
      <c r="F264" s="5" t="s">
        <v>59</v>
      </c>
      <c r="G264" s="5" t="s">
        <v>60</v>
      </c>
      <c r="H264" s="5">
        <v>41.0</v>
      </c>
      <c r="I264" s="5">
        <v>1.0</v>
      </c>
      <c r="J264" s="5" t="s">
        <v>7</v>
      </c>
      <c r="K264" s="5" t="s">
        <v>132</v>
      </c>
      <c r="L264" s="5" t="s">
        <v>8</v>
      </c>
      <c r="M264" s="5" t="s">
        <v>145</v>
      </c>
      <c r="N264" s="5" t="s">
        <v>72</v>
      </c>
      <c r="O264" s="5" t="s">
        <v>760</v>
      </c>
      <c r="P264" s="12">
        <v>0.0</v>
      </c>
      <c r="Q264" s="5"/>
    </row>
    <row r="265" ht="15.75" customHeight="1">
      <c r="A265" s="7" t="s">
        <v>761</v>
      </c>
      <c r="B265" s="7" t="s">
        <v>113</v>
      </c>
      <c r="C265" s="7">
        <v>24.0</v>
      </c>
      <c r="D265" s="7" t="s">
        <v>92</v>
      </c>
      <c r="E265" s="7" t="s">
        <v>58</v>
      </c>
      <c r="F265" s="7" t="s">
        <v>141</v>
      </c>
      <c r="G265" s="7" t="s">
        <v>60</v>
      </c>
      <c r="H265" s="7">
        <v>28.0</v>
      </c>
      <c r="I265" s="7">
        <v>5.0</v>
      </c>
      <c r="J265" s="7" t="s">
        <v>7</v>
      </c>
      <c r="K265" s="7" t="s">
        <v>61</v>
      </c>
      <c r="L265" s="7" t="s">
        <v>12</v>
      </c>
      <c r="M265" s="7" t="s">
        <v>71</v>
      </c>
      <c r="N265" s="7" t="s">
        <v>72</v>
      </c>
      <c r="O265" s="7" t="s">
        <v>762</v>
      </c>
      <c r="P265" s="13">
        <v>0.0</v>
      </c>
      <c r="Q265" s="7"/>
    </row>
    <row r="266" ht="15.75" customHeight="1">
      <c r="A266" s="5" t="s">
        <v>763</v>
      </c>
      <c r="B266" s="5" t="s">
        <v>671</v>
      </c>
      <c r="C266" s="5">
        <v>20.0</v>
      </c>
      <c r="D266" s="5" t="s">
        <v>92</v>
      </c>
      <c r="E266" s="5" t="s">
        <v>137</v>
      </c>
      <c r="F266" s="5" t="s">
        <v>68</v>
      </c>
      <c r="G266" s="5" t="s">
        <v>69</v>
      </c>
      <c r="H266" s="5">
        <v>25.0</v>
      </c>
      <c r="I266" s="5">
        <v>6.0</v>
      </c>
      <c r="J266" s="5" t="s">
        <v>17</v>
      </c>
      <c r="K266" s="5" t="s">
        <v>88</v>
      </c>
      <c r="L266" s="5" t="s">
        <v>8</v>
      </c>
      <c r="M266" s="5" t="s">
        <v>62</v>
      </c>
      <c r="N266" s="5" t="s">
        <v>63</v>
      </c>
      <c r="O266" s="5" t="s">
        <v>764</v>
      </c>
      <c r="P266" s="12">
        <v>0.0</v>
      </c>
      <c r="Q266" s="5"/>
    </row>
    <row r="267" ht="15.75" customHeight="1">
      <c r="A267" s="7" t="s">
        <v>765</v>
      </c>
      <c r="B267" s="7" t="s">
        <v>442</v>
      </c>
      <c r="C267" s="7">
        <v>26.0</v>
      </c>
      <c r="D267" s="7" t="s">
        <v>57</v>
      </c>
      <c r="E267" s="7" t="s">
        <v>114</v>
      </c>
      <c r="F267" s="7" t="s">
        <v>68</v>
      </c>
      <c r="G267" s="7" t="s">
        <v>60</v>
      </c>
      <c r="H267" s="7">
        <v>19.0</v>
      </c>
      <c r="I267" s="7">
        <v>6.0</v>
      </c>
      <c r="J267" s="7" t="s">
        <v>15</v>
      </c>
      <c r="K267" s="7" t="s">
        <v>94</v>
      </c>
      <c r="L267" s="7" t="s">
        <v>12</v>
      </c>
      <c r="M267" s="7" t="s">
        <v>83</v>
      </c>
      <c r="N267" s="7" t="s">
        <v>63</v>
      </c>
      <c r="O267" s="7" t="s">
        <v>766</v>
      </c>
      <c r="P267" s="13">
        <v>0.0</v>
      </c>
      <c r="Q267" s="7"/>
    </row>
    <row r="268" ht="15.75" customHeight="1">
      <c r="A268" s="5" t="s">
        <v>767</v>
      </c>
      <c r="B268" s="5" t="s">
        <v>768</v>
      </c>
      <c r="C268" s="5">
        <v>24.0</v>
      </c>
      <c r="D268" s="5" t="s">
        <v>57</v>
      </c>
      <c r="E268" s="5" t="s">
        <v>114</v>
      </c>
      <c r="F268" s="5" t="s">
        <v>68</v>
      </c>
      <c r="G268" s="5" t="s">
        <v>69</v>
      </c>
      <c r="H268" s="5">
        <v>22.0</v>
      </c>
      <c r="I268" s="5">
        <v>0.0</v>
      </c>
      <c r="J268" s="5" t="s">
        <v>9</v>
      </c>
      <c r="K268" s="5" t="s">
        <v>88</v>
      </c>
      <c r="L268" s="5" t="s">
        <v>8</v>
      </c>
      <c r="M268" s="5" t="s">
        <v>145</v>
      </c>
      <c r="N268" s="5" t="s">
        <v>72</v>
      </c>
      <c r="O268" s="5" t="s">
        <v>769</v>
      </c>
      <c r="P268" s="12">
        <v>0.0</v>
      </c>
      <c r="Q268" s="5"/>
    </row>
    <row r="269" ht="15.75" customHeight="1">
      <c r="A269" s="7" t="s">
        <v>770</v>
      </c>
      <c r="B269" s="7" t="s">
        <v>624</v>
      </c>
      <c r="C269" s="7">
        <v>25.0</v>
      </c>
      <c r="D269" s="7" t="s">
        <v>57</v>
      </c>
      <c r="E269" s="7" t="s">
        <v>58</v>
      </c>
      <c r="F269" s="7" t="s">
        <v>98</v>
      </c>
      <c r="G269" s="7" t="s">
        <v>60</v>
      </c>
      <c r="H269" s="7">
        <v>44.0</v>
      </c>
      <c r="I269" s="7">
        <v>6.0</v>
      </c>
      <c r="J269" s="7" t="s">
        <v>7</v>
      </c>
      <c r="K269" s="7" t="s">
        <v>132</v>
      </c>
      <c r="L269" s="7" t="s">
        <v>8</v>
      </c>
      <c r="M269" s="7" t="s">
        <v>83</v>
      </c>
      <c r="N269" s="7" t="s">
        <v>84</v>
      </c>
      <c r="O269" s="7" t="s">
        <v>771</v>
      </c>
      <c r="P269" s="13">
        <v>1200.0</v>
      </c>
      <c r="Q269" s="7">
        <v>5.0</v>
      </c>
    </row>
    <row r="270" ht="15.75" customHeight="1">
      <c r="A270" s="5" t="s">
        <v>772</v>
      </c>
      <c r="B270" s="5" t="s">
        <v>669</v>
      </c>
      <c r="C270" s="5">
        <v>28.0</v>
      </c>
      <c r="D270" s="5" t="s">
        <v>57</v>
      </c>
      <c r="E270" s="5" t="s">
        <v>58</v>
      </c>
      <c r="F270" s="5" t="s">
        <v>121</v>
      </c>
      <c r="G270" s="5" t="s">
        <v>69</v>
      </c>
      <c r="H270" s="5">
        <v>28.0</v>
      </c>
      <c r="I270" s="5">
        <v>4.0</v>
      </c>
      <c r="J270" s="5" t="s">
        <v>13</v>
      </c>
      <c r="K270" s="5" t="s">
        <v>102</v>
      </c>
      <c r="L270" s="5" t="s">
        <v>12</v>
      </c>
      <c r="M270" s="5" t="s">
        <v>145</v>
      </c>
      <c r="N270" s="5" t="s">
        <v>110</v>
      </c>
      <c r="O270" s="5" t="s">
        <v>773</v>
      </c>
      <c r="P270" s="12">
        <v>0.0</v>
      </c>
      <c r="Q270" s="5"/>
    </row>
    <row r="271" ht="15.75" customHeight="1">
      <c r="A271" s="7" t="s">
        <v>774</v>
      </c>
      <c r="B271" s="7" t="s">
        <v>775</v>
      </c>
      <c r="C271" s="7">
        <v>46.0</v>
      </c>
      <c r="D271" s="7" t="s">
        <v>92</v>
      </c>
      <c r="E271" s="7" t="s">
        <v>58</v>
      </c>
      <c r="F271" s="7" t="s">
        <v>121</v>
      </c>
      <c r="G271" s="7" t="s">
        <v>69</v>
      </c>
      <c r="H271" s="7">
        <v>32.0</v>
      </c>
      <c r="I271" s="7">
        <v>7.0</v>
      </c>
      <c r="J271" s="7" t="s">
        <v>9</v>
      </c>
      <c r="K271" s="7" t="s">
        <v>82</v>
      </c>
      <c r="L271" s="7" t="s">
        <v>10</v>
      </c>
      <c r="M271" s="7" t="s">
        <v>62</v>
      </c>
      <c r="N271" s="7" t="s">
        <v>72</v>
      </c>
      <c r="O271" s="7" t="s">
        <v>776</v>
      </c>
      <c r="P271" s="13">
        <v>0.0</v>
      </c>
      <c r="Q271" s="7"/>
    </row>
    <row r="272" ht="15.75" customHeight="1">
      <c r="A272" s="5" t="s">
        <v>777</v>
      </c>
      <c r="B272" s="5" t="s">
        <v>457</v>
      </c>
      <c r="C272" s="5">
        <v>25.0</v>
      </c>
      <c r="D272" s="5" t="s">
        <v>92</v>
      </c>
      <c r="E272" s="5" t="s">
        <v>137</v>
      </c>
      <c r="F272" s="5" t="s">
        <v>68</v>
      </c>
      <c r="G272" s="5" t="s">
        <v>60</v>
      </c>
      <c r="H272" s="5">
        <v>41.0</v>
      </c>
      <c r="I272" s="5">
        <v>5.0</v>
      </c>
      <c r="J272" s="5" t="s">
        <v>13</v>
      </c>
      <c r="K272" s="5" t="s">
        <v>166</v>
      </c>
      <c r="L272" s="5" t="s">
        <v>10</v>
      </c>
      <c r="M272" s="5" t="s">
        <v>71</v>
      </c>
      <c r="N272" s="5" t="s">
        <v>77</v>
      </c>
      <c r="O272" s="5" t="s">
        <v>778</v>
      </c>
      <c r="P272" s="12">
        <v>0.0</v>
      </c>
      <c r="Q272" s="5"/>
    </row>
    <row r="273" ht="15.75" customHeight="1">
      <c r="A273" s="7" t="s">
        <v>779</v>
      </c>
      <c r="B273" s="7" t="s">
        <v>780</v>
      </c>
      <c r="C273" s="7">
        <v>35.0</v>
      </c>
      <c r="D273" s="7" t="s">
        <v>57</v>
      </c>
      <c r="E273" s="7" t="s">
        <v>58</v>
      </c>
      <c r="F273" s="7" t="s">
        <v>98</v>
      </c>
      <c r="G273" s="7" t="s">
        <v>60</v>
      </c>
      <c r="H273" s="7">
        <v>30.0</v>
      </c>
      <c r="I273" s="7">
        <v>8.0</v>
      </c>
      <c r="J273" s="7" t="s">
        <v>17</v>
      </c>
      <c r="K273" s="7" t="s">
        <v>82</v>
      </c>
      <c r="L273" s="7" t="s">
        <v>14</v>
      </c>
      <c r="M273" s="7" t="s">
        <v>83</v>
      </c>
      <c r="N273" s="7" t="s">
        <v>110</v>
      </c>
      <c r="O273" s="7" t="s">
        <v>781</v>
      </c>
      <c r="P273" s="13">
        <v>0.0</v>
      </c>
      <c r="Q273" s="7"/>
    </row>
    <row r="274" ht="15.75" customHeight="1">
      <c r="A274" s="5" t="s">
        <v>782</v>
      </c>
      <c r="B274" s="5" t="s">
        <v>511</v>
      </c>
      <c r="C274" s="5">
        <v>30.0</v>
      </c>
      <c r="D274" s="5" t="s">
        <v>92</v>
      </c>
      <c r="E274" s="5" t="s">
        <v>58</v>
      </c>
      <c r="F274" s="5" t="s">
        <v>93</v>
      </c>
      <c r="G274" s="5" t="s">
        <v>69</v>
      </c>
      <c r="H274" s="5">
        <v>19.0</v>
      </c>
      <c r="I274" s="5">
        <v>7.0</v>
      </c>
      <c r="J274" s="5" t="s">
        <v>13</v>
      </c>
      <c r="K274" s="5" t="s">
        <v>61</v>
      </c>
      <c r="L274" s="5" t="s">
        <v>14</v>
      </c>
      <c r="M274" s="5" t="s">
        <v>71</v>
      </c>
      <c r="N274" s="5" t="s">
        <v>84</v>
      </c>
      <c r="O274" s="5" t="s">
        <v>783</v>
      </c>
      <c r="P274" s="12">
        <v>500.0</v>
      </c>
      <c r="Q274" s="5">
        <v>4.0</v>
      </c>
    </row>
    <row r="275" ht="15.75" customHeight="1">
      <c r="A275" s="7" t="s">
        <v>784</v>
      </c>
      <c r="B275" s="7" t="s">
        <v>113</v>
      </c>
      <c r="C275" s="7">
        <v>35.0</v>
      </c>
      <c r="D275" s="7" t="s">
        <v>92</v>
      </c>
      <c r="E275" s="7" t="s">
        <v>58</v>
      </c>
      <c r="F275" s="7" t="s">
        <v>141</v>
      </c>
      <c r="G275" s="7" t="s">
        <v>69</v>
      </c>
      <c r="H275" s="7">
        <v>25.0</v>
      </c>
      <c r="I275" s="7">
        <v>0.0</v>
      </c>
      <c r="J275" s="7" t="s">
        <v>17</v>
      </c>
      <c r="K275" s="7" t="s">
        <v>166</v>
      </c>
      <c r="L275" s="7" t="s">
        <v>12</v>
      </c>
      <c r="M275" s="7" t="s">
        <v>145</v>
      </c>
      <c r="N275" s="7" t="s">
        <v>152</v>
      </c>
      <c r="O275" s="7" t="s">
        <v>785</v>
      </c>
      <c r="P275" s="13">
        <v>0.0</v>
      </c>
      <c r="Q275" s="7"/>
    </row>
    <row r="276" ht="15.75" customHeight="1">
      <c r="A276" s="5" t="s">
        <v>786</v>
      </c>
      <c r="B276" s="5" t="s">
        <v>257</v>
      </c>
      <c r="C276" s="5">
        <v>40.0</v>
      </c>
      <c r="D276" s="5" t="s">
        <v>92</v>
      </c>
      <c r="E276" s="5" t="s">
        <v>58</v>
      </c>
      <c r="F276" s="5" t="s">
        <v>59</v>
      </c>
      <c r="G276" s="5" t="s">
        <v>69</v>
      </c>
      <c r="H276" s="5">
        <v>10.0</v>
      </c>
      <c r="I276" s="5">
        <v>7.0</v>
      </c>
      <c r="J276" s="5" t="s">
        <v>13</v>
      </c>
      <c r="K276" s="5" t="s">
        <v>94</v>
      </c>
      <c r="L276" s="5" t="s">
        <v>10</v>
      </c>
      <c r="M276" s="5" t="s">
        <v>106</v>
      </c>
      <c r="N276" s="5" t="s">
        <v>84</v>
      </c>
      <c r="O276" s="5" t="s">
        <v>787</v>
      </c>
      <c r="P276" s="12">
        <v>800.0</v>
      </c>
      <c r="Q276" s="5">
        <v>5.0</v>
      </c>
    </row>
    <row r="277" ht="15.75" customHeight="1">
      <c r="A277" s="7" t="s">
        <v>788</v>
      </c>
      <c r="B277" s="7" t="s">
        <v>508</v>
      </c>
      <c r="C277" s="7">
        <v>20.0</v>
      </c>
      <c r="D277" s="7" t="s">
        <v>92</v>
      </c>
      <c r="E277" s="7" t="s">
        <v>58</v>
      </c>
      <c r="F277" s="7" t="s">
        <v>121</v>
      </c>
      <c r="G277" s="7" t="s">
        <v>60</v>
      </c>
      <c r="H277" s="7">
        <v>28.0</v>
      </c>
      <c r="I277" s="7">
        <v>5.0</v>
      </c>
      <c r="J277" s="7" t="s">
        <v>18</v>
      </c>
      <c r="K277" s="7" t="s">
        <v>88</v>
      </c>
      <c r="L277" s="7" t="s">
        <v>14</v>
      </c>
      <c r="M277" s="7" t="s">
        <v>145</v>
      </c>
      <c r="N277" s="7" t="s">
        <v>84</v>
      </c>
      <c r="O277" s="7" t="s">
        <v>789</v>
      </c>
      <c r="P277" s="13">
        <v>2000.0</v>
      </c>
      <c r="Q277" s="7">
        <v>5.0</v>
      </c>
    </row>
    <row r="278" ht="15.75" customHeight="1">
      <c r="A278" s="5" t="s">
        <v>790</v>
      </c>
      <c r="B278" s="5" t="s">
        <v>671</v>
      </c>
      <c r="C278" s="5">
        <v>27.0</v>
      </c>
      <c r="D278" s="5" t="s">
        <v>92</v>
      </c>
      <c r="E278" s="5" t="s">
        <v>58</v>
      </c>
      <c r="F278" s="5" t="s">
        <v>98</v>
      </c>
      <c r="G278" s="5" t="s">
        <v>60</v>
      </c>
      <c r="H278" s="5">
        <v>7.0</v>
      </c>
      <c r="I278" s="5">
        <v>3.0</v>
      </c>
      <c r="J278" s="5" t="s">
        <v>7</v>
      </c>
      <c r="K278" s="5" t="s">
        <v>88</v>
      </c>
      <c r="L278" s="5" t="s">
        <v>10</v>
      </c>
      <c r="M278" s="5" t="s">
        <v>62</v>
      </c>
      <c r="N278" s="5" t="s">
        <v>152</v>
      </c>
      <c r="O278" s="5" t="s">
        <v>791</v>
      </c>
      <c r="P278" s="12">
        <v>0.0</v>
      </c>
      <c r="Q278" s="5"/>
    </row>
    <row r="279" ht="15.75" customHeight="1">
      <c r="A279" s="7" t="s">
        <v>792</v>
      </c>
      <c r="B279" s="7" t="s">
        <v>505</v>
      </c>
      <c r="C279" s="7">
        <v>44.0</v>
      </c>
      <c r="D279" s="7" t="s">
        <v>57</v>
      </c>
      <c r="E279" s="7" t="s">
        <v>58</v>
      </c>
      <c r="F279" s="7" t="s">
        <v>76</v>
      </c>
      <c r="G279" s="7" t="s">
        <v>60</v>
      </c>
      <c r="H279" s="7">
        <v>40.0</v>
      </c>
      <c r="I279" s="7">
        <v>1.0</v>
      </c>
      <c r="J279" s="7" t="s">
        <v>9</v>
      </c>
      <c r="K279" s="7" t="s">
        <v>61</v>
      </c>
      <c r="L279" s="7" t="s">
        <v>14</v>
      </c>
      <c r="M279" s="7" t="s">
        <v>62</v>
      </c>
      <c r="N279" s="7" t="s">
        <v>84</v>
      </c>
      <c r="O279" s="7" t="s">
        <v>793</v>
      </c>
      <c r="P279" s="13">
        <v>1200.0</v>
      </c>
      <c r="Q279" s="7">
        <v>4.0</v>
      </c>
    </row>
    <row r="280" ht="15.75" customHeight="1">
      <c r="A280" s="5" t="s">
        <v>794</v>
      </c>
      <c r="B280" s="5" t="s">
        <v>87</v>
      </c>
      <c r="C280" s="5">
        <v>33.0</v>
      </c>
      <c r="D280" s="5" t="s">
        <v>57</v>
      </c>
      <c r="E280" s="5" t="s">
        <v>114</v>
      </c>
      <c r="F280" s="5" t="s">
        <v>68</v>
      </c>
      <c r="G280" s="5" t="s">
        <v>60</v>
      </c>
      <c r="H280" s="5">
        <v>6.0</v>
      </c>
      <c r="I280" s="5">
        <v>3.0</v>
      </c>
      <c r="J280" s="5" t="s">
        <v>11</v>
      </c>
      <c r="K280" s="5" t="s">
        <v>88</v>
      </c>
      <c r="L280" s="5" t="s">
        <v>14</v>
      </c>
      <c r="M280" s="5" t="s">
        <v>62</v>
      </c>
      <c r="N280" s="5" t="s">
        <v>110</v>
      </c>
      <c r="O280" s="5" t="s">
        <v>795</v>
      </c>
      <c r="P280" s="12">
        <v>0.0</v>
      </c>
      <c r="Q280" s="5"/>
    </row>
    <row r="281" ht="15.75" customHeight="1">
      <c r="A281" s="7" t="s">
        <v>796</v>
      </c>
      <c r="B281" s="7" t="s">
        <v>797</v>
      </c>
      <c r="C281" s="7">
        <v>38.0</v>
      </c>
      <c r="D281" s="7" t="s">
        <v>92</v>
      </c>
      <c r="E281" s="7" t="s">
        <v>114</v>
      </c>
      <c r="F281" s="7" t="s">
        <v>68</v>
      </c>
      <c r="G281" s="7" t="s">
        <v>69</v>
      </c>
      <c r="H281" s="7">
        <v>26.0</v>
      </c>
      <c r="I281" s="7">
        <v>8.0</v>
      </c>
      <c r="J281" s="7" t="s">
        <v>18</v>
      </c>
      <c r="K281" s="7" t="s">
        <v>70</v>
      </c>
      <c r="L281" s="7" t="s">
        <v>10</v>
      </c>
      <c r="M281" s="7" t="s">
        <v>71</v>
      </c>
      <c r="N281" s="7" t="s">
        <v>77</v>
      </c>
      <c r="O281" s="7" t="s">
        <v>798</v>
      </c>
      <c r="P281" s="13">
        <v>0.0</v>
      </c>
      <c r="Q281" s="7"/>
    </row>
    <row r="282" ht="15.75" customHeight="1">
      <c r="A282" s="5" t="s">
        <v>799</v>
      </c>
      <c r="B282" s="5" t="s">
        <v>800</v>
      </c>
      <c r="C282" s="5">
        <v>25.0</v>
      </c>
      <c r="D282" s="5" t="s">
        <v>92</v>
      </c>
      <c r="E282" s="5" t="s">
        <v>67</v>
      </c>
      <c r="F282" s="5" t="s">
        <v>68</v>
      </c>
      <c r="G282" s="5" t="s">
        <v>60</v>
      </c>
      <c r="H282" s="5">
        <v>35.0</v>
      </c>
      <c r="I282" s="5">
        <v>1.0</v>
      </c>
      <c r="J282" s="5" t="s">
        <v>15</v>
      </c>
      <c r="K282" s="5" t="s">
        <v>128</v>
      </c>
      <c r="L282" s="5" t="s">
        <v>12</v>
      </c>
      <c r="M282" s="5" t="s">
        <v>83</v>
      </c>
      <c r="N282" s="5" t="s">
        <v>63</v>
      </c>
      <c r="O282" s="5" t="s">
        <v>801</v>
      </c>
      <c r="P282" s="12">
        <v>0.0</v>
      </c>
      <c r="Q282" s="5"/>
    </row>
    <row r="283" ht="15.75" customHeight="1">
      <c r="A283" s="7" t="s">
        <v>802</v>
      </c>
      <c r="B283" s="7" t="s">
        <v>803</v>
      </c>
      <c r="C283" s="7">
        <v>38.0</v>
      </c>
      <c r="D283" s="7" t="s">
        <v>92</v>
      </c>
      <c r="E283" s="7" t="s">
        <v>58</v>
      </c>
      <c r="F283" s="7" t="s">
        <v>81</v>
      </c>
      <c r="G283" s="7" t="s">
        <v>60</v>
      </c>
      <c r="H283" s="7">
        <v>18.0</v>
      </c>
      <c r="I283" s="7">
        <v>2.0</v>
      </c>
      <c r="J283" s="7" t="s">
        <v>17</v>
      </c>
      <c r="K283" s="7" t="s">
        <v>70</v>
      </c>
      <c r="L283" s="7" t="s">
        <v>8</v>
      </c>
      <c r="M283" s="7" t="s">
        <v>71</v>
      </c>
      <c r="N283" s="7" t="s">
        <v>72</v>
      </c>
      <c r="O283" s="7" t="s">
        <v>804</v>
      </c>
      <c r="P283" s="13">
        <v>0.0</v>
      </c>
      <c r="Q283" s="7"/>
    </row>
    <row r="284" ht="15.75" customHeight="1">
      <c r="A284" s="5" t="s">
        <v>805</v>
      </c>
      <c r="B284" s="5" t="s">
        <v>254</v>
      </c>
      <c r="C284" s="5">
        <v>24.0</v>
      </c>
      <c r="D284" s="5" t="s">
        <v>57</v>
      </c>
      <c r="E284" s="5" t="s">
        <v>58</v>
      </c>
      <c r="F284" s="5" t="s">
        <v>93</v>
      </c>
      <c r="G284" s="5" t="s">
        <v>69</v>
      </c>
      <c r="H284" s="5">
        <v>25.0</v>
      </c>
      <c r="I284" s="5">
        <v>3.0</v>
      </c>
      <c r="J284" s="5" t="s">
        <v>7</v>
      </c>
      <c r="K284" s="5" t="s">
        <v>94</v>
      </c>
      <c r="L284" s="5" t="s">
        <v>12</v>
      </c>
      <c r="M284" s="5" t="s">
        <v>62</v>
      </c>
      <c r="N284" s="5" t="s">
        <v>84</v>
      </c>
      <c r="O284" s="5" t="s">
        <v>806</v>
      </c>
      <c r="P284" s="12">
        <v>500.0</v>
      </c>
      <c r="Q284" s="5">
        <v>5.0</v>
      </c>
    </row>
    <row r="285" ht="15.75" customHeight="1">
      <c r="A285" s="7" t="s">
        <v>807</v>
      </c>
      <c r="B285" s="7" t="s">
        <v>91</v>
      </c>
      <c r="C285" s="7">
        <v>39.0</v>
      </c>
      <c r="D285" s="7" t="s">
        <v>92</v>
      </c>
      <c r="E285" s="7" t="s">
        <v>58</v>
      </c>
      <c r="F285" s="7" t="s">
        <v>98</v>
      </c>
      <c r="G285" s="7" t="s">
        <v>69</v>
      </c>
      <c r="H285" s="7">
        <v>35.0</v>
      </c>
      <c r="I285" s="7">
        <v>2.0</v>
      </c>
      <c r="J285" s="7" t="s">
        <v>17</v>
      </c>
      <c r="K285" s="7" t="s">
        <v>82</v>
      </c>
      <c r="L285" s="7" t="s">
        <v>8</v>
      </c>
      <c r="M285" s="7" t="s">
        <v>145</v>
      </c>
      <c r="N285" s="7" t="s">
        <v>77</v>
      </c>
      <c r="O285" s="7" t="s">
        <v>808</v>
      </c>
      <c r="P285" s="13">
        <v>0.0</v>
      </c>
      <c r="Q285" s="7"/>
    </row>
    <row r="286" ht="15.75" customHeight="1">
      <c r="A286" s="5" t="s">
        <v>809</v>
      </c>
      <c r="B286" s="5" t="s">
        <v>768</v>
      </c>
      <c r="C286" s="5">
        <v>39.0</v>
      </c>
      <c r="D286" s="5" t="s">
        <v>57</v>
      </c>
      <c r="E286" s="5" t="s">
        <v>58</v>
      </c>
      <c r="F286" s="5" t="s">
        <v>81</v>
      </c>
      <c r="G286" s="5" t="s">
        <v>69</v>
      </c>
      <c r="H286" s="5">
        <v>30.0</v>
      </c>
      <c r="I286" s="5">
        <v>6.0</v>
      </c>
      <c r="J286" s="5" t="s">
        <v>9</v>
      </c>
      <c r="K286" s="5" t="s">
        <v>88</v>
      </c>
      <c r="L286" s="5" t="s">
        <v>8</v>
      </c>
      <c r="M286" s="5" t="s">
        <v>71</v>
      </c>
      <c r="N286" s="5" t="s">
        <v>72</v>
      </c>
      <c r="O286" s="5" t="s">
        <v>810</v>
      </c>
      <c r="P286" s="12">
        <v>0.0</v>
      </c>
      <c r="Q286" s="5"/>
    </row>
    <row r="287" ht="15.75" customHeight="1">
      <c r="A287" s="7" t="s">
        <v>811</v>
      </c>
      <c r="B287" s="7" t="s">
        <v>812</v>
      </c>
      <c r="C287" s="7">
        <v>35.0</v>
      </c>
      <c r="D287" s="7" t="s">
        <v>92</v>
      </c>
      <c r="E287" s="7" t="s">
        <v>58</v>
      </c>
      <c r="F287" s="7" t="s">
        <v>141</v>
      </c>
      <c r="G287" s="7" t="s">
        <v>60</v>
      </c>
      <c r="H287" s="7">
        <v>40.0</v>
      </c>
      <c r="I287" s="7">
        <v>7.0</v>
      </c>
      <c r="J287" s="7" t="s">
        <v>7</v>
      </c>
      <c r="K287" s="7" t="s">
        <v>88</v>
      </c>
      <c r="L287" s="7" t="s">
        <v>10</v>
      </c>
      <c r="M287" s="7" t="s">
        <v>106</v>
      </c>
      <c r="N287" s="7" t="s">
        <v>84</v>
      </c>
      <c r="O287" s="7" t="s">
        <v>813</v>
      </c>
      <c r="P287" s="13">
        <v>2000.0</v>
      </c>
      <c r="Q287" s="7">
        <v>4.0</v>
      </c>
    </row>
    <row r="288" ht="15.75" customHeight="1">
      <c r="A288" s="5" t="s">
        <v>814</v>
      </c>
      <c r="B288" s="5" t="s">
        <v>704</v>
      </c>
      <c r="C288" s="5">
        <v>26.0</v>
      </c>
      <c r="D288" s="5" t="s">
        <v>92</v>
      </c>
      <c r="E288" s="5" t="s">
        <v>114</v>
      </c>
      <c r="F288" s="5" t="s">
        <v>68</v>
      </c>
      <c r="G288" s="5" t="s">
        <v>69</v>
      </c>
      <c r="H288" s="5">
        <v>44.0</v>
      </c>
      <c r="I288" s="5">
        <v>2.0</v>
      </c>
      <c r="J288" s="5" t="s">
        <v>15</v>
      </c>
      <c r="K288" s="5" t="s">
        <v>102</v>
      </c>
      <c r="L288" s="5" t="s">
        <v>10</v>
      </c>
      <c r="M288" s="5" t="s">
        <v>83</v>
      </c>
      <c r="N288" s="5" t="s">
        <v>77</v>
      </c>
      <c r="O288" s="5" t="s">
        <v>815</v>
      </c>
      <c r="P288" s="12">
        <v>0.0</v>
      </c>
      <c r="Q288" s="5"/>
    </row>
    <row r="289" ht="15.75" customHeight="1">
      <c r="A289" s="7" t="s">
        <v>816</v>
      </c>
      <c r="B289" s="7" t="s">
        <v>573</v>
      </c>
      <c r="C289" s="7">
        <v>47.0</v>
      </c>
      <c r="D289" s="7" t="s">
        <v>92</v>
      </c>
      <c r="E289" s="7" t="s">
        <v>58</v>
      </c>
      <c r="F289" s="7" t="s">
        <v>98</v>
      </c>
      <c r="G289" s="7" t="s">
        <v>69</v>
      </c>
      <c r="H289" s="7">
        <v>6.0</v>
      </c>
      <c r="I289" s="7">
        <v>6.0</v>
      </c>
      <c r="J289" s="7" t="s">
        <v>16</v>
      </c>
      <c r="K289" s="7" t="s">
        <v>88</v>
      </c>
      <c r="L289" s="7" t="s">
        <v>14</v>
      </c>
      <c r="M289" s="7" t="s">
        <v>145</v>
      </c>
      <c r="N289" s="7" t="s">
        <v>63</v>
      </c>
      <c r="O289" s="7" t="s">
        <v>817</v>
      </c>
      <c r="P289" s="13">
        <v>0.0</v>
      </c>
      <c r="Q289" s="7"/>
    </row>
    <row r="290" ht="15.75" customHeight="1">
      <c r="A290" s="5" t="s">
        <v>818</v>
      </c>
      <c r="B290" s="5" t="s">
        <v>229</v>
      </c>
      <c r="C290" s="5">
        <v>35.0</v>
      </c>
      <c r="D290" s="5" t="s">
        <v>92</v>
      </c>
      <c r="E290" s="5" t="s">
        <v>67</v>
      </c>
      <c r="F290" s="5" t="s">
        <v>68</v>
      </c>
      <c r="G290" s="5" t="s">
        <v>60</v>
      </c>
      <c r="H290" s="5">
        <v>30.0</v>
      </c>
      <c r="I290" s="5">
        <v>1.0</v>
      </c>
      <c r="J290" s="5" t="s">
        <v>16</v>
      </c>
      <c r="K290" s="5" t="s">
        <v>82</v>
      </c>
      <c r="L290" s="5" t="s">
        <v>10</v>
      </c>
      <c r="M290" s="5" t="s">
        <v>145</v>
      </c>
      <c r="N290" s="5" t="s">
        <v>63</v>
      </c>
      <c r="O290" s="5" t="s">
        <v>819</v>
      </c>
      <c r="P290" s="12">
        <v>0.0</v>
      </c>
      <c r="Q290" s="5"/>
    </row>
    <row r="291" ht="15.75" customHeight="1">
      <c r="A291" s="7" t="s">
        <v>820</v>
      </c>
      <c r="B291" s="7" t="s">
        <v>345</v>
      </c>
      <c r="C291" s="7">
        <v>42.0</v>
      </c>
      <c r="D291" s="7" t="s">
        <v>92</v>
      </c>
      <c r="E291" s="7" t="s">
        <v>58</v>
      </c>
      <c r="F291" s="7" t="s">
        <v>162</v>
      </c>
      <c r="G291" s="7" t="s">
        <v>60</v>
      </c>
      <c r="H291" s="7">
        <v>21.0</v>
      </c>
      <c r="I291" s="7">
        <v>1.0</v>
      </c>
      <c r="J291" s="7" t="s">
        <v>11</v>
      </c>
      <c r="K291" s="7" t="s">
        <v>166</v>
      </c>
      <c r="L291" s="7" t="s">
        <v>10</v>
      </c>
      <c r="M291" s="7" t="s">
        <v>71</v>
      </c>
      <c r="N291" s="7" t="s">
        <v>72</v>
      </c>
      <c r="O291" s="7" t="s">
        <v>821</v>
      </c>
      <c r="P291" s="13">
        <v>0.0</v>
      </c>
      <c r="Q291" s="7"/>
    </row>
    <row r="292" ht="15.75" customHeight="1">
      <c r="A292" s="5" t="s">
        <v>822</v>
      </c>
      <c r="B292" s="5" t="s">
        <v>823</v>
      </c>
      <c r="C292" s="5">
        <v>26.0</v>
      </c>
      <c r="D292" s="5" t="s">
        <v>57</v>
      </c>
      <c r="E292" s="5" t="s">
        <v>58</v>
      </c>
      <c r="F292" s="5" t="s">
        <v>121</v>
      </c>
      <c r="G292" s="5" t="s">
        <v>60</v>
      </c>
      <c r="H292" s="5">
        <v>16.0</v>
      </c>
      <c r="I292" s="5">
        <v>5.0</v>
      </c>
      <c r="J292" s="5" t="s">
        <v>17</v>
      </c>
      <c r="K292" s="5" t="s">
        <v>94</v>
      </c>
      <c r="L292" s="5" t="s">
        <v>12</v>
      </c>
      <c r="M292" s="5" t="s">
        <v>71</v>
      </c>
      <c r="N292" s="5" t="s">
        <v>72</v>
      </c>
      <c r="O292" s="5" t="s">
        <v>824</v>
      </c>
      <c r="P292" s="12">
        <v>0.0</v>
      </c>
      <c r="Q292" s="5"/>
    </row>
    <row r="293" ht="15.75" customHeight="1">
      <c r="A293" s="7" t="s">
        <v>825</v>
      </c>
      <c r="B293" s="7" t="s">
        <v>826</v>
      </c>
      <c r="C293" s="7">
        <v>38.0</v>
      </c>
      <c r="D293" s="7" t="s">
        <v>92</v>
      </c>
      <c r="E293" s="7" t="s">
        <v>67</v>
      </c>
      <c r="F293" s="7" t="s">
        <v>68</v>
      </c>
      <c r="G293" s="7" t="s">
        <v>60</v>
      </c>
      <c r="H293" s="7">
        <v>20.0</v>
      </c>
      <c r="I293" s="7">
        <v>0.0</v>
      </c>
      <c r="J293" s="7" t="s">
        <v>15</v>
      </c>
      <c r="K293" s="7" t="s">
        <v>70</v>
      </c>
      <c r="L293" s="7" t="s">
        <v>8</v>
      </c>
      <c r="M293" s="7" t="s">
        <v>106</v>
      </c>
      <c r="N293" s="7" t="s">
        <v>72</v>
      </c>
      <c r="O293" s="7" t="s">
        <v>827</v>
      </c>
      <c r="P293" s="13">
        <v>0.0</v>
      </c>
      <c r="Q293" s="7"/>
    </row>
    <row r="294" ht="15.75" customHeight="1">
      <c r="A294" s="5" t="s">
        <v>828</v>
      </c>
      <c r="B294" s="5" t="s">
        <v>416</v>
      </c>
      <c r="C294" s="5">
        <v>28.0</v>
      </c>
      <c r="D294" s="5" t="s">
        <v>92</v>
      </c>
      <c r="E294" s="5" t="s">
        <v>58</v>
      </c>
      <c r="F294" s="5" t="s">
        <v>93</v>
      </c>
      <c r="G294" s="5" t="s">
        <v>69</v>
      </c>
      <c r="H294" s="5">
        <v>28.0</v>
      </c>
      <c r="I294" s="5">
        <v>8.0</v>
      </c>
      <c r="J294" s="5" t="s">
        <v>11</v>
      </c>
      <c r="K294" s="5" t="s">
        <v>82</v>
      </c>
      <c r="L294" s="5" t="s">
        <v>12</v>
      </c>
      <c r="M294" s="5" t="s">
        <v>71</v>
      </c>
      <c r="N294" s="5" t="s">
        <v>84</v>
      </c>
      <c r="O294" s="5" t="s">
        <v>762</v>
      </c>
      <c r="P294" s="12">
        <v>2000.0</v>
      </c>
      <c r="Q294" s="5">
        <v>4.0</v>
      </c>
    </row>
    <row r="295" ht="15.75" customHeight="1">
      <c r="A295" s="7" t="s">
        <v>829</v>
      </c>
      <c r="B295" s="7" t="s">
        <v>311</v>
      </c>
      <c r="C295" s="7">
        <v>31.0</v>
      </c>
      <c r="D295" s="7" t="s">
        <v>57</v>
      </c>
      <c r="E295" s="7" t="s">
        <v>58</v>
      </c>
      <c r="F295" s="7" t="s">
        <v>121</v>
      </c>
      <c r="G295" s="7" t="s">
        <v>69</v>
      </c>
      <c r="H295" s="7">
        <v>40.0</v>
      </c>
      <c r="I295" s="7">
        <v>0.0</v>
      </c>
      <c r="J295" s="7" t="s">
        <v>9</v>
      </c>
      <c r="K295" s="7" t="s">
        <v>82</v>
      </c>
      <c r="L295" s="7" t="s">
        <v>14</v>
      </c>
      <c r="M295" s="7" t="s">
        <v>106</v>
      </c>
      <c r="N295" s="7" t="s">
        <v>72</v>
      </c>
      <c r="O295" s="7" t="s">
        <v>830</v>
      </c>
      <c r="P295" s="13">
        <v>0.0</v>
      </c>
      <c r="Q295" s="7"/>
    </row>
    <row r="296" ht="15.75" customHeight="1">
      <c r="A296" s="5" t="s">
        <v>831</v>
      </c>
      <c r="B296" s="5" t="s">
        <v>136</v>
      </c>
      <c r="C296" s="5">
        <v>47.0</v>
      </c>
      <c r="D296" s="5" t="s">
        <v>92</v>
      </c>
      <c r="E296" s="5" t="s">
        <v>58</v>
      </c>
      <c r="F296" s="5" t="s">
        <v>162</v>
      </c>
      <c r="G296" s="5" t="s">
        <v>60</v>
      </c>
      <c r="H296" s="5">
        <v>29.0</v>
      </c>
      <c r="I296" s="5">
        <v>2.0</v>
      </c>
      <c r="J296" s="5" t="s">
        <v>16</v>
      </c>
      <c r="K296" s="5" t="s">
        <v>166</v>
      </c>
      <c r="L296" s="5" t="s">
        <v>8</v>
      </c>
      <c r="M296" s="5" t="s">
        <v>83</v>
      </c>
      <c r="N296" s="5" t="s">
        <v>72</v>
      </c>
      <c r="O296" s="5" t="s">
        <v>832</v>
      </c>
      <c r="P296" s="12">
        <v>0.0</v>
      </c>
      <c r="Q296" s="5"/>
    </row>
    <row r="297" ht="15.75" customHeight="1">
      <c r="A297" s="7" t="s">
        <v>833</v>
      </c>
      <c r="B297" s="7" t="s">
        <v>669</v>
      </c>
      <c r="C297" s="7">
        <v>27.0</v>
      </c>
      <c r="D297" s="7" t="s">
        <v>57</v>
      </c>
      <c r="E297" s="7" t="s">
        <v>58</v>
      </c>
      <c r="F297" s="7" t="s">
        <v>162</v>
      </c>
      <c r="G297" s="7" t="s">
        <v>60</v>
      </c>
      <c r="H297" s="7">
        <v>40.0</v>
      </c>
      <c r="I297" s="7">
        <v>0.0</v>
      </c>
      <c r="J297" s="7" t="s">
        <v>13</v>
      </c>
      <c r="K297" s="7" t="s">
        <v>102</v>
      </c>
      <c r="L297" s="7" t="s">
        <v>14</v>
      </c>
      <c r="M297" s="7" t="s">
        <v>145</v>
      </c>
      <c r="N297" s="7" t="s">
        <v>110</v>
      </c>
      <c r="O297" s="7" t="s">
        <v>834</v>
      </c>
      <c r="P297" s="13">
        <v>0.0</v>
      </c>
      <c r="Q297" s="7"/>
    </row>
    <row r="298" ht="15.75" customHeight="1">
      <c r="A298" s="5" t="s">
        <v>835</v>
      </c>
      <c r="B298" s="5" t="s">
        <v>836</v>
      </c>
      <c r="C298" s="5">
        <v>50.0</v>
      </c>
      <c r="D298" s="5" t="s">
        <v>57</v>
      </c>
      <c r="E298" s="5" t="s">
        <v>58</v>
      </c>
      <c r="F298" s="5" t="s">
        <v>121</v>
      </c>
      <c r="G298" s="5" t="s">
        <v>60</v>
      </c>
      <c r="H298" s="5">
        <v>6.0</v>
      </c>
      <c r="I298" s="5">
        <v>8.0</v>
      </c>
      <c r="J298" s="5" t="s">
        <v>18</v>
      </c>
      <c r="K298" s="5" t="s">
        <v>94</v>
      </c>
      <c r="L298" s="5" t="s">
        <v>10</v>
      </c>
      <c r="M298" s="5" t="s">
        <v>71</v>
      </c>
      <c r="N298" s="5" t="s">
        <v>84</v>
      </c>
      <c r="O298" s="5" t="s">
        <v>837</v>
      </c>
      <c r="P298" s="12">
        <v>250.0</v>
      </c>
      <c r="Q298" s="5">
        <v>4.0</v>
      </c>
    </row>
    <row r="299" ht="15.75" customHeight="1">
      <c r="A299" s="7" t="s">
        <v>838</v>
      </c>
      <c r="B299" s="7" t="s">
        <v>172</v>
      </c>
      <c r="C299" s="7">
        <v>39.0</v>
      </c>
      <c r="D299" s="7" t="s">
        <v>57</v>
      </c>
      <c r="E299" s="7" t="s">
        <v>137</v>
      </c>
      <c r="F299" s="7" t="s">
        <v>68</v>
      </c>
      <c r="G299" s="7" t="s">
        <v>60</v>
      </c>
      <c r="H299" s="7">
        <v>22.0</v>
      </c>
      <c r="I299" s="7">
        <v>8.0</v>
      </c>
      <c r="J299" s="7" t="s">
        <v>15</v>
      </c>
      <c r="K299" s="7" t="s">
        <v>128</v>
      </c>
      <c r="L299" s="7" t="s">
        <v>10</v>
      </c>
      <c r="M299" s="7" t="s">
        <v>62</v>
      </c>
      <c r="N299" s="7" t="s">
        <v>84</v>
      </c>
      <c r="O299" s="7" t="s">
        <v>839</v>
      </c>
      <c r="P299" s="13">
        <v>800.0</v>
      </c>
      <c r="Q299" s="7">
        <v>5.0</v>
      </c>
    </row>
    <row r="300" ht="15.75" customHeight="1">
      <c r="A300" s="5" t="s">
        <v>840</v>
      </c>
      <c r="B300" s="5" t="s">
        <v>841</v>
      </c>
      <c r="C300" s="5">
        <v>28.0</v>
      </c>
      <c r="D300" s="5" t="s">
        <v>92</v>
      </c>
      <c r="E300" s="5" t="s">
        <v>58</v>
      </c>
      <c r="F300" s="5" t="s">
        <v>93</v>
      </c>
      <c r="G300" s="5" t="s">
        <v>69</v>
      </c>
      <c r="H300" s="5">
        <v>9.0</v>
      </c>
      <c r="I300" s="5">
        <v>3.0</v>
      </c>
      <c r="J300" s="5" t="s">
        <v>7</v>
      </c>
      <c r="K300" s="5" t="s">
        <v>61</v>
      </c>
      <c r="L300" s="5" t="s">
        <v>14</v>
      </c>
      <c r="M300" s="5" t="s">
        <v>62</v>
      </c>
      <c r="N300" s="5" t="s">
        <v>84</v>
      </c>
      <c r="O300" s="5" t="s">
        <v>842</v>
      </c>
      <c r="P300" s="12">
        <v>350.0</v>
      </c>
      <c r="Q300" s="5">
        <v>5.0</v>
      </c>
    </row>
    <row r="301" ht="15.75" customHeight="1">
      <c r="A301" s="7" t="s">
        <v>843</v>
      </c>
      <c r="B301" s="7" t="s">
        <v>413</v>
      </c>
      <c r="C301" s="7">
        <v>46.0</v>
      </c>
      <c r="D301" s="7" t="s">
        <v>57</v>
      </c>
      <c r="E301" s="7" t="s">
        <v>58</v>
      </c>
      <c r="F301" s="7" t="s">
        <v>81</v>
      </c>
      <c r="G301" s="7" t="s">
        <v>60</v>
      </c>
      <c r="H301" s="7">
        <v>33.0</v>
      </c>
      <c r="I301" s="7">
        <v>1.0</v>
      </c>
      <c r="J301" s="7" t="s">
        <v>9</v>
      </c>
      <c r="K301" s="7" t="s">
        <v>61</v>
      </c>
      <c r="L301" s="7" t="s">
        <v>10</v>
      </c>
      <c r="M301" s="7" t="s">
        <v>83</v>
      </c>
      <c r="N301" s="7" t="s">
        <v>63</v>
      </c>
      <c r="O301" s="7" t="s">
        <v>844</v>
      </c>
      <c r="P301" s="13">
        <v>0.0</v>
      </c>
      <c r="Q301" s="7"/>
    </row>
    <row r="302" ht="15.75" customHeight="1">
      <c r="A302" s="5" t="s">
        <v>845</v>
      </c>
      <c r="B302" s="5" t="s">
        <v>826</v>
      </c>
      <c r="C302" s="5">
        <v>39.0</v>
      </c>
      <c r="D302" s="5" t="s">
        <v>92</v>
      </c>
      <c r="E302" s="5" t="s">
        <v>58</v>
      </c>
      <c r="F302" s="5" t="s">
        <v>81</v>
      </c>
      <c r="G302" s="5" t="s">
        <v>60</v>
      </c>
      <c r="H302" s="5">
        <v>17.0</v>
      </c>
      <c r="I302" s="5">
        <v>2.0</v>
      </c>
      <c r="J302" s="5" t="s">
        <v>16</v>
      </c>
      <c r="K302" s="5" t="s">
        <v>94</v>
      </c>
      <c r="L302" s="5" t="s">
        <v>10</v>
      </c>
      <c r="M302" s="5" t="s">
        <v>83</v>
      </c>
      <c r="N302" s="5" t="s">
        <v>110</v>
      </c>
      <c r="O302" s="5" t="s">
        <v>846</v>
      </c>
      <c r="P302" s="12">
        <v>0.0</v>
      </c>
      <c r="Q302" s="5"/>
    </row>
    <row r="303" ht="15.75" customHeight="1">
      <c r="A303" s="7" t="s">
        <v>847</v>
      </c>
      <c r="B303" s="7" t="s">
        <v>848</v>
      </c>
      <c r="C303" s="7">
        <v>32.0</v>
      </c>
      <c r="D303" s="7" t="s">
        <v>57</v>
      </c>
      <c r="E303" s="7" t="s">
        <v>58</v>
      </c>
      <c r="F303" s="7" t="s">
        <v>141</v>
      </c>
      <c r="G303" s="7" t="s">
        <v>69</v>
      </c>
      <c r="H303" s="7">
        <v>8.0</v>
      </c>
      <c r="I303" s="7">
        <v>4.0</v>
      </c>
      <c r="J303" s="7" t="s">
        <v>15</v>
      </c>
      <c r="K303" s="7" t="s">
        <v>82</v>
      </c>
      <c r="L303" s="7" t="s">
        <v>10</v>
      </c>
      <c r="M303" s="7" t="s">
        <v>106</v>
      </c>
      <c r="N303" s="7" t="s">
        <v>84</v>
      </c>
      <c r="O303" s="7" t="s">
        <v>849</v>
      </c>
      <c r="P303" s="13">
        <v>1200.0</v>
      </c>
      <c r="Q303" s="7">
        <v>5.0</v>
      </c>
    </row>
    <row r="304" ht="15.75" customHeight="1">
      <c r="A304" s="5" t="s">
        <v>850</v>
      </c>
      <c r="B304" s="5" t="s">
        <v>235</v>
      </c>
      <c r="C304" s="5">
        <v>30.0</v>
      </c>
      <c r="D304" s="5" t="s">
        <v>57</v>
      </c>
      <c r="E304" s="5" t="s">
        <v>58</v>
      </c>
      <c r="F304" s="5" t="s">
        <v>162</v>
      </c>
      <c r="G304" s="5" t="s">
        <v>69</v>
      </c>
      <c r="H304" s="5">
        <v>36.0</v>
      </c>
      <c r="I304" s="5">
        <v>4.0</v>
      </c>
      <c r="J304" s="5" t="s">
        <v>13</v>
      </c>
      <c r="K304" s="5" t="s">
        <v>61</v>
      </c>
      <c r="L304" s="5" t="s">
        <v>14</v>
      </c>
      <c r="M304" s="5" t="s">
        <v>106</v>
      </c>
      <c r="N304" s="5" t="s">
        <v>84</v>
      </c>
      <c r="O304" s="5" t="s">
        <v>851</v>
      </c>
      <c r="P304" s="12">
        <v>800.0</v>
      </c>
      <c r="Q304" s="5">
        <v>5.0</v>
      </c>
    </row>
    <row r="305" ht="15.75" customHeight="1">
      <c r="A305" s="7" t="s">
        <v>852</v>
      </c>
      <c r="B305" s="7" t="s">
        <v>155</v>
      </c>
      <c r="C305" s="7">
        <v>37.0</v>
      </c>
      <c r="D305" s="7" t="s">
        <v>92</v>
      </c>
      <c r="E305" s="7" t="s">
        <v>58</v>
      </c>
      <c r="F305" s="7" t="s">
        <v>93</v>
      </c>
      <c r="G305" s="7" t="s">
        <v>60</v>
      </c>
      <c r="H305" s="7">
        <v>16.0</v>
      </c>
      <c r="I305" s="7">
        <v>3.0</v>
      </c>
      <c r="J305" s="7" t="s">
        <v>15</v>
      </c>
      <c r="K305" s="7" t="s">
        <v>128</v>
      </c>
      <c r="L305" s="7" t="s">
        <v>14</v>
      </c>
      <c r="M305" s="7" t="s">
        <v>106</v>
      </c>
      <c r="N305" s="7" t="s">
        <v>152</v>
      </c>
      <c r="O305" s="7" t="s">
        <v>853</v>
      </c>
      <c r="P305" s="13">
        <v>0.0</v>
      </c>
      <c r="Q305" s="7"/>
    </row>
    <row r="306" ht="15.75" customHeight="1">
      <c r="A306" s="5" t="s">
        <v>854</v>
      </c>
      <c r="B306" s="5" t="s">
        <v>361</v>
      </c>
      <c r="C306" s="5">
        <v>21.0</v>
      </c>
      <c r="D306" s="5" t="s">
        <v>57</v>
      </c>
      <c r="E306" s="5" t="s">
        <v>58</v>
      </c>
      <c r="F306" s="5" t="s">
        <v>162</v>
      </c>
      <c r="G306" s="5" t="s">
        <v>60</v>
      </c>
      <c r="H306" s="5">
        <v>38.0</v>
      </c>
      <c r="I306" s="5">
        <v>2.0</v>
      </c>
      <c r="J306" s="5" t="s">
        <v>16</v>
      </c>
      <c r="K306" s="5" t="s">
        <v>61</v>
      </c>
      <c r="L306" s="5" t="s">
        <v>12</v>
      </c>
      <c r="M306" s="5" t="s">
        <v>106</v>
      </c>
      <c r="N306" s="5" t="s">
        <v>110</v>
      </c>
      <c r="O306" s="5" t="s">
        <v>855</v>
      </c>
      <c r="P306" s="12">
        <v>0.0</v>
      </c>
      <c r="Q306" s="5"/>
    </row>
    <row r="307" ht="15.75" customHeight="1">
      <c r="A307" s="7" t="s">
        <v>856</v>
      </c>
      <c r="B307" s="7" t="s">
        <v>590</v>
      </c>
      <c r="C307" s="7">
        <v>39.0</v>
      </c>
      <c r="D307" s="7" t="s">
        <v>57</v>
      </c>
      <c r="E307" s="7" t="s">
        <v>58</v>
      </c>
      <c r="F307" s="7" t="s">
        <v>162</v>
      </c>
      <c r="G307" s="7" t="s">
        <v>69</v>
      </c>
      <c r="H307" s="7">
        <v>31.0</v>
      </c>
      <c r="I307" s="7">
        <v>4.0</v>
      </c>
      <c r="J307" s="7" t="s">
        <v>16</v>
      </c>
      <c r="K307" s="7" t="s">
        <v>128</v>
      </c>
      <c r="L307" s="7" t="s">
        <v>14</v>
      </c>
      <c r="M307" s="7" t="s">
        <v>83</v>
      </c>
      <c r="N307" s="7" t="s">
        <v>110</v>
      </c>
      <c r="O307" s="7" t="s">
        <v>857</v>
      </c>
      <c r="P307" s="13">
        <v>0.0</v>
      </c>
      <c r="Q307" s="7"/>
    </row>
    <row r="308" ht="15.75" customHeight="1">
      <c r="A308" s="5" t="s">
        <v>858</v>
      </c>
      <c r="B308" s="5" t="s">
        <v>229</v>
      </c>
      <c r="C308" s="5">
        <v>21.0</v>
      </c>
      <c r="D308" s="5" t="s">
        <v>92</v>
      </c>
      <c r="E308" s="5" t="s">
        <v>58</v>
      </c>
      <c r="F308" s="5" t="s">
        <v>98</v>
      </c>
      <c r="G308" s="5" t="s">
        <v>69</v>
      </c>
      <c r="H308" s="5">
        <v>33.0</v>
      </c>
      <c r="I308" s="5">
        <v>2.0</v>
      </c>
      <c r="J308" s="5" t="s">
        <v>7</v>
      </c>
      <c r="K308" s="5" t="s">
        <v>102</v>
      </c>
      <c r="L308" s="5" t="s">
        <v>14</v>
      </c>
      <c r="M308" s="5" t="s">
        <v>71</v>
      </c>
      <c r="N308" s="5" t="s">
        <v>84</v>
      </c>
      <c r="O308" s="5" t="s">
        <v>859</v>
      </c>
      <c r="P308" s="12">
        <v>800.0</v>
      </c>
      <c r="Q308" s="5">
        <v>5.0</v>
      </c>
    </row>
    <row r="309" ht="15.75" customHeight="1">
      <c r="A309" s="7" t="s">
        <v>860</v>
      </c>
      <c r="B309" s="7" t="s">
        <v>524</v>
      </c>
      <c r="C309" s="7">
        <v>43.0</v>
      </c>
      <c r="D309" s="7" t="s">
        <v>57</v>
      </c>
      <c r="E309" s="7" t="s">
        <v>114</v>
      </c>
      <c r="F309" s="7" t="s">
        <v>68</v>
      </c>
      <c r="G309" s="7" t="s">
        <v>60</v>
      </c>
      <c r="H309" s="7">
        <v>3.0</v>
      </c>
      <c r="I309" s="7">
        <v>2.0</v>
      </c>
      <c r="J309" s="7" t="s">
        <v>13</v>
      </c>
      <c r="K309" s="7" t="s">
        <v>94</v>
      </c>
      <c r="L309" s="7" t="s">
        <v>12</v>
      </c>
      <c r="M309" s="7" t="s">
        <v>145</v>
      </c>
      <c r="N309" s="7" t="s">
        <v>84</v>
      </c>
      <c r="O309" s="7" t="s">
        <v>861</v>
      </c>
      <c r="P309" s="13">
        <v>500.0</v>
      </c>
      <c r="Q309" s="7">
        <v>5.0</v>
      </c>
    </row>
    <row r="310" ht="15.75" customHeight="1">
      <c r="A310" s="5" t="s">
        <v>862</v>
      </c>
      <c r="B310" s="5" t="s">
        <v>105</v>
      </c>
      <c r="C310" s="5">
        <v>42.0</v>
      </c>
      <c r="D310" s="5" t="s">
        <v>57</v>
      </c>
      <c r="E310" s="5" t="s">
        <v>58</v>
      </c>
      <c r="F310" s="5" t="s">
        <v>76</v>
      </c>
      <c r="G310" s="5" t="s">
        <v>60</v>
      </c>
      <c r="H310" s="5">
        <v>17.0</v>
      </c>
      <c r="I310" s="5">
        <v>3.0</v>
      </c>
      <c r="J310" s="5" t="s">
        <v>13</v>
      </c>
      <c r="K310" s="5" t="s">
        <v>94</v>
      </c>
      <c r="L310" s="5" t="s">
        <v>12</v>
      </c>
      <c r="M310" s="5" t="s">
        <v>71</v>
      </c>
      <c r="N310" s="5" t="s">
        <v>84</v>
      </c>
      <c r="O310" s="5" t="s">
        <v>863</v>
      </c>
      <c r="P310" s="12">
        <v>250.0</v>
      </c>
      <c r="Q310" s="5">
        <v>1.0</v>
      </c>
    </row>
    <row r="311" ht="15.75" customHeight="1">
      <c r="A311" s="7" t="s">
        <v>864</v>
      </c>
      <c r="B311" s="7" t="s">
        <v>91</v>
      </c>
      <c r="C311" s="7">
        <v>26.0</v>
      </c>
      <c r="D311" s="7" t="s">
        <v>92</v>
      </c>
      <c r="E311" s="7" t="s">
        <v>58</v>
      </c>
      <c r="F311" s="7" t="s">
        <v>162</v>
      </c>
      <c r="G311" s="7" t="s">
        <v>69</v>
      </c>
      <c r="H311" s="7">
        <v>4.0</v>
      </c>
      <c r="I311" s="7">
        <v>0.0</v>
      </c>
      <c r="J311" s="7" t="s">
        <v>17</v>
      </c>
      <c r="K311" s="7" t="s">
        <v>82</v>
      </c>
      <c r="L311" s="7" t="s">
        <v>14</v>
      </c>
      <c r="M311" s="7" t="s">
        <v>83</v>
      </c>
      <c r="N311" s="7" t="s">
        <v>77</v>
      </c>
      <c r="O311" s="7" t="s">
        <v>865</v>
      </c>
      <c r="P311" s="13">
        <v>0.0</v>
      </c>
      <c r="Q311" s="7"/>
    </row>
    <row r="312" ht="15.75" customHeight="1">
      <c r="A312" s="5" t="s">
        <v>866</v>
      </c>
      <c r="B312" s="5" t="s">
        <v>616</v>
      </c>
      <c r="C312" s="5">
        <v>24.0</v>
      </c>
      <c r="D312" s="5" t="s">
        <v>92</v>
      </c>
      <c r="E312" s="5" t="s">
        <v>67</v>
      </c>
      <c r="F312" s="5" t="s">
        <v>68</v>
      </c>
      <c r="G312" s="5" t="s">
        <v>60</v>
      </c>
      <c r="H312" s="5">
        <v>22.0</v>
      </c>
      <c r="I312" s="5">
        <v>6.0</v>
      </c>
      <c r="J312" s="5" t="s">
        <v>18</v>
      </c>
      <c r="K312" s="5" t="s">
        <v>88</v>
      </c>
      <c r="L312" s="5" t="s">
        <v>10</v>
      </c>
      <c r="M312" s="5" t="s">
        <v>62</v>
      </c>
      <c r="N312" s="5" t="s">
        <v>152</v>
      </c>
      <c r="O312" s="5" t="s">
        <v>867</v>
      </c>
      <c r="P312" s="12">
        <v>0.0</v>
      </c>
      <c r="Q312" s="5"/>
    </row>
    <row r="313" ht="15.75" customHeight="1">
      <c r="A313" s="7" t="s">
        <v>868</v>
      </c>
      <c r="B313" s="7" t="s">
        <v>869</v>
      </c>
      <c r="C313" s="7">
        <v>24.0</v>
      </c>
      <c r="D313" s="7" t="s">
        <v>92</v>
      </c>
      <c r="E313" s="7" t="s">
        <v>58</v>
      </c>
      <c r="F313" s="7" t="s">
        <v>93</v>
      </c>
      <c r="G313" s="7" t="s">
        <v>60</v>
      </c>
      <c r="H313" s="7">
        <v>24.0</v>
      </c>
      <c r="I313" s="7">
        <v>0.0</v>
      </c>
      <c r="J313" s="7" t="s">
        <v>18</v>
      </c>
      <c r="K313" s="7" t="s">
        <v>102</v>
      </c>
      <c r="L313" s="7" t="s">
        <v>14</v>
      </c>
      <c r="M313" s="7" t="s">
        <v>71</v>
      </c>
      <c r="N313" s="7" t="s">
        <v>72</v>
      </c>
      <c r="O313" s="7" t="s">
        <v>870</v>
      </c>
      <c r="P313" s="13">
        <v>0.0</v>
      </c>
      <c r="Q313" s="7"/>
    </row>
    <row r="314" ht="15.75" customHeight="1">
      <c r="A314" s="5" t="s">
        <v>871</v>
      </c>
      <c r="B314" s="5" t="s">
        <v>101</v>
      </c>
      <c r="C314" s="5">
        <v>22.0</v>
      </c>
      <c r="D314" s="5" t="s">
        <v>92</v>
      </c>
      <c r="E314" s="5" t="s">
        <v>58</v>
      </c>
      <c r="F314" s="5" t="s">
        <v>93</v>
      </c>
      <c r="G314" s="5" t="s">
        <v>69</v>
      </c>
      <c r="H314" s="5">
        <v>36.0</v>
      </c>
      <c r="I314" s="5">
        <v>7.0</v>
      </c>
      <c r="J314" s="5" t="s">
        <v>18</v>
      </c>
      <c r="K314" s="5" t="s">
        <v>70</v>
      </c>
      <c r="L314" s="5" t="s">
        <v>14</v>
      </c>
      <c r="M314" s="5" t="s">
        <v>71</v>
      </c>
      <c r="N314" s="5" t="s">
        <v>133</v>
      </c>
      <c r="O314" s="5" t="s">
        <v>872</v>
      </c>
      <c r="P314" s="12">
        <v>0.0</v>
      </c>
      <c r="Q314" s="5"/>
    </row>
    <row r="315" ht="15.75" customHeight="1">
      <c r="A315" s="7" t="s">
        <v>873</v>
      </c>
      <c r="B315" s="7" t="s">
        <v>136</v>
      </c>
      <c r="C315" s="7">
        <v>51.0</v>
      </c>
      <c r="D315" s="7" t="s">
        <v>92</v>
      </c>
      <c r="E315" s="7" t="s">
        <v>58</v>
      </c>
      <c r="F315" s="7" t="s">
        <v>76</v>
      </c>
      <c r="G315" s="7" t="s">
        <v>60</v>
      </c>
      <c r="H315" s="7">
        <v>23.0</v>
      </c>
      <c r="I315" s="7">
        <v>8.0</v>
      </c>
      <c r="J315" s="7" t="s">
        <v>7</v>
      </c>
      <c r="K315" s="7" t="s">
        <v>61</v>
      </c>
      <c r="L315" s="7" t="s">
        <v>12</v>
      </c>
      <c r="M315" s="7" t="s">
        <v>106</v>
      </c>
      <c r="N315" s="7" t="s">
        <v>63</v>
      </c>
      <c r="O315" s="7" t="s">
        <v>874</v>
      </c>
      <c r="P315" s="13">
        <v>0.0</v>
      </c>
      <c r="Q315" s="7"/>
    </row>
    <row r="316" ht="15.75" customHeight="1">
      <c r="A316" s="5" t="s">
        <v>875</v>
      </c>
      <c r="B316" s="5" t="s">
        <v>308</v>
      </c>
      <c r="C316" s="5">
        <v>43.0</v>
      </c>
      <c r="D316" s="5" t="s">
        <v>92</v>
      </c>
      <c r="E316" s="5" t="s">
        <v>58</v>
      </c>
      <c r="F316" s="5" t="s">
        <v>76</v>
      </c>
      <c r="G316" s="5" t="s">
        <v>60</v>
      </c>
      <c r="H316" s="5">
        <v>35.0</v>
      </c>
      <c r="I316" s="5">
        <v>4.0</v>
      </c>
      <c r="J316" s="5" t="s">
        <v>7</v>
      </c>
      <c r="K316" s="5" t="s">
        <v>61</v>
      </c>
      <c r="L316" s="5" t="s">
        <v>8</v>
      </c>
      <c r="M316" s="5" t="s">
        <v>106</v>
      </c>
      <c r="N316" s="5" t="s">
        <v>84</v>
      </c>
      <c r="O316" s="5" t="s">
        <v>876</v>
      </c>
      <c r="P316" s="12">
        <v>350.0</v>
      </c>
      <c r="Q316" s="5">
        <v>5.0</v>
      </c>
    </row>
    <row r="317" ht="15.75" customHeight="1">
      <c r="A317" s="7" t="s">
        <v>877</v>
      </c>
      <c r="B317" s="7" t="s">
        <v>218</v>
      </c>
      <c r="C317" s="7">
        <v>30.0</v>
      </c>
      <c r="D317" s="7" t="s">
        <v>57</v>
      </c>
      <c r="E317" s="7" t="s">
        <v>114</v>
      </c>
      <c r="F317" s="7" t="s">
        <v>68</v>
      </c>
      <c r="G317" s="7" t="s">
        <v>60</v>
      </c>
      <c r="H317" s="7">
        <v>23.0</v>
      </c>
      <c r="I317" s="7">
        <v>4.0</v>
      </c>
      <c r="J317" s="7" t="s">
        <v>11</v>
      </c>
      <c r="K317" s="7" t="s">
        <v>102</v>
      </c>
      <c r="L317" s="7" t="s">
        <v>10</v>
      </c>
      <c r="M317" s="7" t="s">
        <v>71</v>
      </c>
      <c r="N317" s="7" t="s">
        <v>133</v>
      </c>
      <c r="O317" s="7" t="s">
        <v>878</v>
      </c>
      <c r="P317" s="13">
        <v>0.0</v>
      </c>
      <c r="Q317" s="7"/>
    </row>
    <row r="318" ht="15.75" customHeight="1">
      <c r="A318" s="5" t="s">
        <v>879</v>
      </c>
      <c r="B318" s="5" t="s">
        <v>364</v>
      </c>
      <c r="C318" s="5">
        <v>48.0</v>
      </c>
      <c r="D318" s="5" t="s">
        <v>92</v>
      </c>
      <c r="E318" s="5" t="s">
        <v>58</v>
      </c>
      <c r="F318" s="5" t="s">
        <v>76</v>
      </c>
      <c r="G318" s="5" t="s">
        <v>69</v>
      </c>
      <c r="H318" s="5">
        <v>7.0</v>
      </c>
      <c r="I318" s="5">
        <v>2.0</v>
      </c>
      <c r="J318" s="5" t="s">
        <v>18</v>
      </c>
      <c r="K318" s="5" t="s">
        <v>166</v>
      </c>
      <c r="L318" s="5" t="s">
        <v>8</v>
      </c>
      <c r="M318" s="5" t="s">
        <v>62</v>
      </c>
      <c r="N318" s="5" t="s">
        <v>84</v>
      </c>
      <c r="O318" s="5" t="s">
        <v>880</v>
      </c>
      <c r="P318" s="12">
        <v>500.0</v>
      </c>
      <c r="Q318" s="5">
        <v>5.0</v>
      </c>
    </row>
    <row r="319" ht="15.75" customHeight="1">
      <c r="A319" s="7" t="s">
        <v>881</v>
      </c>
      <c r="B319" s="7" t="s">
        <v>595</v>
      </c>
      <c r="C319" s="7">
        <v>27.0</v>
      </c>
      <c r="D319" s="7" t="s">
        <v>57</v>
      </c>
      <c r="E319" s="7" t="s">
        <v>58</v>
      </c>
      <c r="F319" s="7" t="s">
        <v>76</v>
      </c>
      <c r="G319" s="7" t="s">
        <v>60</v>
      </c>
      <c r="H319" s="7">
        <v>33.0</v>
      </c>
      <c r="I319" s="7">
        <v>2.0</v>
      </c>
      <c r="J319" s="7" t="s">
        <v>15</v>
      </c>
      <c r="K319" s="7" t="s">
        <v>88</v>
      </c>
      <c r="L319" s="7" t="s">
        <v>12</v>
      </c>
      <c r="M319" s="7" t="s">
        <v>62</v>
      </c>
      <c r="N319" s="7" t="s">
        <v>72</v>
      </c>
      <c r="O319" s="7" t="s">
        <v>882</v>
      </c>
      <c r="P319" s="13">
        <v>0.0</v>
      </c>
      <c r="Q319" s="7"/>
    </row>
    <row r="320" ht="15.75" customHeight="1">
      <c r="A320" s="5" t="s">
        <v>883</v>
      </c>
      <c r="B320" s="5" t="s">
        <v>632</v>
      </c>
      <c r="C320" s="5">
        <v>23.0</v>
      </c>
      <c r="D320" s="5" t="s">
        <v>57</v>
      </c>
      <c r="E320" s="5" t="s">
        <v>58</v>
      </c>
      <c r="F320" s="5" t="s">
        <v>81</v>
      </c>
      <c r="G320" s="5" t="s">
        <v>69</v>
      </c>
      <c r="H320" s="5">
        <v>34.0</v>
      </c>
      <c r="I320" s="5">
        <v>8.0</v>
      </c>
      <c r="J320" s="5" t="s">
        <v>7</v>
      </c>
      <c r="K320" s="5" t="s">
        <v>94</v>
      </c>
      <c r="L320" s="5" t="s">
        <v>10</v>
      </c>
      <c r="M320" s="5" t="s">
        <v>145</v>
      </c>
      <c r="N320" s="5" t="s">
        <v>84</v>
      </c>
      <c r="O320" s="5" t="s">
        <v>884</v>
      </c>
      <c r="P320" s="12">
        <v>800.0</v>
      </c>
      <c r="Q320" s="5">
        <v>5.0</v>
      </c>
    </row>
    <row r="321" ht="15.75" customHeight="1">
      <c r="A321" s="7" t="s">
        <v>885</v>
      </c>
      <c r="B321" s="7" t="s">
        <v>595</v>
      </c>
      <c r="C321" s="7">
        <v>46.0</v>
      </c>
      <c r="D321" s="7" t="s">
        <v>57</v>
      </c>
      <c r="E321" s="7" t="s">
        <v>58</v>
      </c>
      <c r="F321" s="7" t="s">
        <v>59</v>
      </c>
      <c r="G321" s="7" t="s">
        <v>69</v>
      </c>
      <c r="H321" s="7">
        <v>45.0</v>
      </c>
      <c r="I321" s="7">
        <v>4.0</v>
      </c>
      <c r="J321" s="7" t="s">
        <v>18</v>
      </c>
      <c r="K321" s="7" t="s">
        <v>70</v>
      </c>
      <c r="L321" s="7" t="s">
        <v>14</v>
      </c>
      <c r="M321" s="7" t="s">
        <v>145</v>
      </c>
      <c r="N321" s="7" t="s">
        <v>84</v>
      </c>
      <c r="O321" s="7" t="s">
        <v>886</v>
      </c>
      <c r="P321" s="13">
        <v>2000.0</v>
      </c>
      <c r="Q321" s="7">
        <v>5.0</v>
      </c>
    </row>
    <row r="322" ht="15.75" customHeight="1">
      <c r="A322" s="5" t="s">
        <v>887</v>
      </c>
      <c r="B322" s="5" t="s">
        <v>282</v>
      </c>
      <c r="C322" s="5">
        <v>20.0</v>
      </c>
      <c r="D322" s="5" t="s">
        <v>57</v>
      </c>
      <c r="E322" s="5" t="s">
        <v>58</v>
      </c>
      <c r="F322" s="5" t="s">
        <v>121</v>
      </c>
      <c r="G322" s="5" t="s">
        <v>60</v>
      </c>
      <c r="H322" s="5">
        <v>8.0</v>
      </c>
      <c r="I322" s="5">
        <v>0.0</v>
      </c>
      <c r="J322" s="5" t="s">
        <v>7</v>
      </c>
      <c r="K322" s="5" t="s">
        <v>166</v>
      </c>
      <c r="L322" s="5" t="s">
        <v>8</v>
      </c>
      <c r="M322" s="5" t="s">
        <v>71</v>
      </c>
      <c r="N322" s="5" t="s">
        <v>110</v>
      </c>
      <c r="O322" s="5" t="s">
        <v>888</v>
      </c>
      <c r="P322" s="12">
        <v>0.0</v>
      </c>
      <c r="Q322" s="5"/>
    </row>
    <row r="323" ht="15.75" customHeight="1">
      <c r="A323" s="7" t="s">
        <v>889</v>
      </c>
      <c r="B323" s="7" t="s">
        <v>757</v>
      </c>
      <c r="C323" s="7">
        <v>34.0</v>
      </c>
      <c r="D323" s="7" t="s">
        <v>92</v>
      </c>
      <c r="E323" s="7" t="s">
        <v>58</v>
      </c>
      <c r="F323" s="7" t="s">
        <v>141</v>
      </c>
      <c r="G323" s="7" t="s">
        <v>60</v>
      </c>
      <c r="H323" s="7">
        <v>23.0</v>
      </c>
      <c r="I323" s="7">
        <v>1.0</v>
      </c>
      <c r="J323" s="7" t="s">
        <v>13</v>
      </c>
      <c r="K323" s="7" t="s">
        <v>82</v>
      </c>
      <c r="L323" s="7" t="s">
        <v>8</v>
      </c>
      <c r="M323" s="7" t="s">
        <v>71</v>
      </c>
      <c r="N323" s="7" t="s">
        <v>110</v>
      </c>
      <c r="O323" s="7" t="s">
        <v>890</v>
      </c>
      <c r="P323" s="13">
        <v>0.0</v>
      </c>
      <c r="Q323" s="7"/>
    </row>
    <row r="324" ht="15.75" customHeight="1">
      <c r="A324" s="5" t="s">
        <v>891</v>
      </c>
      <c r="B324" s="5" t="s">
        <v>544</v>
      </c>
      <c r="C324" s="5">
        <v>40.0</v>
      </c>
      <c r="D324" s="5" t="s">
        <v>57</v>
      </c>
      <c r="E324" s="5" t="s">
        <v>58</v>
      </c>
      <c r="F324" s="5" t="s">
        <v>98</v>
      </c>
      <c r="G324" s="5" t="s">
        <v>60</v>
      </c>
      <c r="H324" s="5">
        <v>44.0</v>
      </c>
      <c r="I324" s="5">
        <v>7.0</v>
      </c>
      <c r="J324" s="5" t="s">
        <v>18</v>
      </c>
      <c r="K324" s="5" t="s">
        <v>128</v>
      </c>
      <c r="L324" s="5" t="s">
        <v>10</v>
      </c>
      <c r="M324" s="5" t="s">
        <v>106</v>
      </c>
      <c r="N324" s="5" t="s">
        <v>133</v>
      </c>
      <c r="O324" s="5" t="s">
        <v>892</v>
      </c>
      <c r="P324" s="12">
        <v>0.0</v>
      </c>
      <c r="Q324" s="5"/>
    </row>
    <row r="325" ht="15.75" customHeight="1">
      <c r="A325" s="7" t="s">
        <v>893</v>
      </c>
      <c r="B325" s="7" t="s">
        <v>87</v>
      </c>
      <c r="C325" s="7">
        <v>25.0</v>
      </c>
      <c r="D325" s="7" t="s">
        <v>57</v>
      </c>
      <c r="E325" s="7" t="s">
        <v>58</v>
      </c>
      <c r="F325" s="7" t="s">
        <v>162</v>
      </c>
      <c r="G325" s="7" t="s">
        <v>69</v>
      </c>
      <c r="H325" s="7">
        <v>23.0</v>
      </c>
      <c r="I325" s="7">
        <v>3.0</v>
      </c>
      <c r="J325" s="7" t="s">
        <v>17</v>
      </c>
      <c r="K325" s="7" t="s">
        <v>82</v>
      </c>
      <c r="L325" s="7" t="s">
        <v>12</v>
      </c>
      <c r="M325" s="7" t="s">
        <v>62</v>
      </c>
      <c r="N325" s="7" t="s">
        <v>77</v>
      </c>
      <c r="O325" s="7" t="s">
        <v>894</v>
      </c>
      <c r="P325" s="13">
        <v>0.0</v>
      </c>
      <c r="Q325" s="7"/>
    </row>
    <row r="326" ht="15.75" customHeight="1">
      <c r="A326" s="5" t="s">
        <v>895</v>
      </c>
      <c r="B326" s="5" t="s">
        <v>445</v>
      </c>
      <c r="C326" s="5">
        <v>26.0</v>
      </c>
      <c r="D326" s="5" t="s">
        <v>57</v>
      </c>
      <c r="E326" s="5" t="s">
        <v>114</v>
      </c>
      <c r="F326" s="5" t="s">
        <v>68</v>
      </c>
      <c r="G326" s="5" t="s">
        <v>60</v>
      </c>
      <c r="H326" s="5">
        <v>24.0</v>
      </c>
      <c r="I326" s="5">
        <v>5.0</v>
      </c>
      <c r="J326" s="5" t="s">
        <v>17</v>
      </c>
      <c r="K326" s="5" t="s">
        <v>128</v>
      </c>
      <c r="L326" s="5" t="s">
        <v>10</v>
      </c>
      <c r="M326" s="5" t="s">
        <v>71</v>
      </c>
      <c r="N326" s="5" t="s">
        <v>63</v>
      </c>
      <c r="O326" s="5" t="s">
        <v>855</v>
      </c>
      <c r="P326" s="12">
        <v>0.0</v>
      </c>
      <c r="Q326" s="5"/>
    </row>
    <row r="327" ht="15.75" customHeight="1">
      <c r="A327" s="7" t="s">
        <v>896</v>
      </c>
      <c r="B327" s="7" t="s">
        <v>285</v>
      </c>
      <c r="C327" s="7">
        <v>47.0</v>
      </c>
      <c r="D327" s="7" t="s">
        <v>92</v>
      </c>
      <c r="E327" s="7" t="s">
        <v>58</v>
      </c>
      <c r="F327" s="7" t="s">
        <v>162</v>
      </c>
      <c r="G327" s="7" t="s">
        <v>60</v>
      </c>
      <c r="H327" s="7">
        <v>29.0</v>
      </c>
      <c r="I327" s="7">
        <v>0.0</v>
      </c>
      <c r="J327" s="7" t="s">
        <v>15</v>
      </c>
      <c r="K327" s="7" t="s">
        <v>128</v>
      </c>
      <c r="L327" s="7" t="s">
        <v>12</v>
      </c>
      <c r="M327" s="7" t="s">
        <v>62</v>
      </c>
      <c r="N327" s="7" t="s">
        <v>84</v>
      </c>
      <c r="O327" s="7" t="s">
        <v>897</v>
      </c>
      <c r="P327" s="13">
        <v>3500.0</v>
      </c>
      <c r="Q327" s="7">
        <v>5.0</v>
      </c>
    </row>
    <row r="328" ht="15.75" customHeight="1">
      <c r="A328" s="5" t="s">
        <v>898</v>
      </c>
      <c r="B328" s="5" t="s">
        <v>899</v>
      </c>
      <c r="C328" s="5">
        <v>32.0</v>
      </c>
      <c r="D328" s="5" t="s">
        <v>92</v>
      </c>
      <c r="E328" s="5" t="s">
        <v>58</v>
      </c>
      <c r="F328" s="5" t="s">
        <v>81</v>
      </c>
      <c r="G328" s="5" t="s">
        <v>69</v>
      </c>
      <c r="H328" s="5">
        <v>43.0</v>
      </c>
      <c r="I328" s="5">
        <v>6.0</v>
      </c>
      <c r="J328" s="5" t="s">
        <v>9</v>
      </c>
      <c r="K328" s="5" t="s">
        <v>82</v>
      </c>
      <c r="L328" s="5" t="s">
        <v>12</v>
      </c>
      <c r="M328" s="5" t="s">
        <v>145</v>
      </c>
      <c r="N328" s="5" t="s">
        <v>110</v>
      </c>
      <c r="O328" s="5" t="s">
        <v>900</v>
      </c>
      <c r="P328" s="12">
        <v>0.0</v>
      </c>
      <c r="Q328" s="5"/>
    </row>
    <row r="329" ht="15.75" customHeight="1">
      <c r="A329" s="7" t="s">
        <v>901</v>
      </c>
      <c r="B329" s="7" t="s">
        <v>188</v>
      </c>
      <c r="C329" s="7">
        <v>29.0</v>
      </c>
      <c r="D329" s="7" t="s">
        <v>92</v>
      </c>
      <c r="E329" s="7" t="s">
        <v>58</v>
      </c>
      <c r="F329" s="7" t="s">
        <v>93</v>
      </c>
      <c r="G329" s="7" t="s">
        <v>60</v>
      </c>
      <c r="H329" s="7">
        <v>6.0</v>
      </c>
      <c r="I329" s="7">
        <v>4.0</v>
      </c>
      <c r="J329" s="7" t="s">
        <v>15</v>
      </c>
      <c r="K329" s="7" t="s">
        <v>88</v>
      </c>
      <c r="L329" s="7" t="s">
        <v>10</v>
      </c>
      <c r="M329" s="7" t="s">
        <v>62</v>
      </c>
      <c r="N329" s="7" t="s">
        <v>84</v>
      </c>
      <c r="O329" s="7" t="s">
        <v>902</v>
      </c>
      <c r="P329" s="13">
        <v>1200.0</v>
      </c>
      <c r="Q329" s="7">
        <v>5.0</v>
      </c>
    </row>
    <row r="330" ht="15.75" customHeight="1">
      <c r="A330" s="5" t="s">
        <v>903</v>
      </c>
      <c r="B330" s="5" t="s">
        <v>733</v>
      </c>
      <c r="C330" s="5">
        <v>19.0</v>
      </c>
      <c r="D330" s="5" t="s">
        <v>57</v>
      </c>
      <c r="E330" s="5" t="s">
        <v>58</v>
      </c>
      <c r="F330" s="5" t="s">
        <v>76</v>
      </c>
      <c r="G330" s="5" t="s">
        <v>69</v>
      </c>
      <c r="H330" s="5">
        <v>37.0</v>
      </c>
      <c r="I330" s="5">
        <v>3.0</v>
      </c>
      <c r="J330" s="5" t="s">
        <v>9</v>
      </c>
      <c r="K330" s="5" t="s">
        <v>128</v>
      </c>
      <c r="L330" s="5" t="s">
        <v>8</v>
      </c>
      <c r="M330" s="5" t="s">
        <v>62</v>
      </c>
      <c r="N330" s="5" t="s">
        <v>110</v>
      </c>
      <c r="O330" s="5" t="s">
        <v>904</v>
      </c>
      <c r="P330" s="12">
        <v>0.0</v>
      </c>
      <c r="Q330" s="5"/>
    </row>
    <row r="331" ht="15.75" customHeight="1">
      <c r="A331" s="7" t="s">
        <v>905</v>
      </c>
      <c r="B331" s="7" t="s">
        <v>419</v>
      </c>
      <c r="C331" s="7">
        <v>21.0</v>
      </c>
      <c r="D331" s="7" t="s">
        <v>57</v>
      </c>
      <c r="E331" s="7" t="s">
        <v>67</v>
      </c>
      <c r="F331" s="7" t="s">
        <v>68</v>
      </c>
      <c r="G331" s="7" t="s">
        <v>69</v>
      </c>
      <c r="H331" s="7">
        <v>24.0</v>
      </c>
      <c r="I331" s="7">
        <v>7.0</v>
      </c>
      <c r="J331" s="7" t="s">
        <v>7</v>
      </c>
      <c r="K331" s="7" t="s">
        <v>61</v>
      </c>
      <c r="L331" s="7" t="s">
        <v>12</v>
      </c>
      <c r="M331" s="7" t="s">
        <v>106</v>
      </c>
      <c r="N331" s="7" t="s">
        <v>84</v>
      </c>
      <c r="O331" s="7" t="s">
        <v>906</v>
      </c>
      <c r="P331" s="13">
        <v>2000.0</v>
      </c>
      <c r="Q331" s="7">
        <v>5.0</v>
      </c>
    </row>
    <row r="332" ht="15.75" customHeight="1">
      <c r="A332" s="5" t="s">
        <v>907</v>
      </c>
      <c r="B332" s="5" t="s">
        <v>120</v>
      </c>
      <c r="C332" s="5">
        <v>24.0</v>
      </c>
      <c r="D332" s="5" t="s">
        <v>92</v>
      </c>
      <c r="E332" s="5" t="s">
        <v>58</v>
      </c>
      <c r="F332" s="5" t="s">
        <v>141</v>
      </c>
      <c r="G332" s="5" t="s">
        <v>60</v>
      </c>
      <c r="H332" s="5">
        <v>22.0</v>
      </c>
      <c r="I332" s="5">
        <v>7.0</v>
      </c>
      <c r="J332" s="5" t="s">
        <v>15</v>
      </c>
      <c r="K332" s="5" t="s">
        <v>102</v>
      </c>
      <c r="L332" s="5" t="s">
        <v>12</v>
      </c>
      <c r="M332" s="5" t="s">
        <v>145</v>
      </c>
      <c r="N332" s="5" t="s">
        <v>84</v>
      </c>
      <c r="O332" s="5" t="s">
        <v>908</v>
      </c>
      <c r="P332" s="12">
        <v>350.0</v>
      </c>
      <c r="Q332" s="5">
        <v>5.0</v>
      </c>
    </row>
    <row r="333" ht="15.75" customHeight="1">
      <c r="A333" s="7" t="s">
        <v>909</v>
      </c>
      <c r="B333" s="7" t="s">
        <v>711</v>
      </c>
      <c r="C333" s="7">
        <v>38.0</v>
      </c>
      <c r="D333" s="7" t="s">
        <v>92</v>
      </c>
      <c r="E333" s="7" t="s">
        <v>58</v>
      </c>
      <c r="F333" s="7" t="s">
        <v>76</v>
      </c>
      <c r="G333" s="7" t="s">
        <v>60</v>
      </c>
      <c r="H333" s="7">
        <v>19.0</v>
      </c>
      <c r="I333" s="7">
        <v>3.0</v>
      </c>
      <c r="J333" s="7" t="s">
        <v>11</v>
      </c>
      <c r="K333" s="7" t="s">
        <v>94</v>
      </c>
      <c r="L333" s="7" t="s">
        <v>14</v>
      </c>
      <c r="M333" s="7" t="s">
        <v>145</v>
      </c>
      <c r="N333" s="7" t="s">
        <v>110</v>
      </c>
      <c r="O333" s="7" t="s">
        <v>910</v>
      </c>
      <c r="P333" s="13">
        <v>0.0</v>
      </c>
      <c r="Q333" s="7"/>
    </row>
    <row r="334" ht="15.75" customHeight="1">
      <c r="A334" s="5" t="s">
        <v>911</v>
      </c>
      <c r="B334" s="5" t="s">
        <v>912</v>
      </c>
      <c r="C334" s="5">
        <v>34.0</v>
      </c>
      <c r="D334" s="5" t="s">
        <v>57</v>
      </c>
      <c r="E334" s="5" t="s">
        <v>58</v>
      </c>
      <c r="F334" s="5" t="s">
        <v>121</v>
      </c>
      <c r="G334" s="5" t="s">
        <v>60</v>
      </c>
      <c r="H334" s="5">
        <v>12.0</v>
      </c>
      <c r="I334" s="5">
        <v>5.0</v>
      </c>
      <c r="J334" s="5" t="s">
        <v>18</v>
      </c>
      <c r="K334" s="5" t="s">
        <v>128</v>
      </c>
      <c r="L334" s="5" t="s">
        <v>10</v>
      </c>
      <c r="M334" s="5" t="s">
        <v>62</v>
      </c>
      <c r="N334" s="5" t="s">
        <v>133</v>
      </c>
      <c r="O334" s="5" t="s">
        <v>913</v>
      </c>
      <c r="P334" s="12">
        <v>0.0</v>
      </c>
      <c r="Q334" s="5"/>
    </row>
    <row r="335" ht="15.75" customHeight="1">
      <c r="A335" s="7" t="s">
        <v>914</v>
      </c>
      <c r="B335" s="7" t="s">
        <v>378</v>
      </c>
      <c r="C335" s="7">
        <v>36.0</v>
      </c>
      <c r="D335" s="7" t="s">
        <v>92</v>
      </c>
      <c r="E335" s="7" t="s">
        <v>58</v>
      </c>
      <c r="F335" s="7" t="s">
        <v>121</v>
      </c>
      <c r="G335" s="7" t="s">
        <v>69</v>
      </c>
      <c r="H335" s="7">
        <v>13.0</v>
      </c>
      <c r="I335" s="7">
        <v>6.0</v>
      </c>
      <c r="J335" s="7" t="s">
        <v>11</v>
      </c>
      <c r="K335" s="7" t="s">
        <v>61</v>
      </c>
      <c r="L335" s="7" t="s">
        <v>14</v>
      </c>
      <c r="M335" s="7" t="s">
        <v>83</v>
      </c>
      <c r="N335" s="7" t="s">
        <v>63</v>
      </c>
      <c r="O335" s="7" t="s">
        <v>915</v>
      </c>
      <c r="P335" s="13">
        <v>0.0</v>
      </c>
      <c r="Q335" s="7"/>
    </row>
    <row r="336" ht="15.75" customHeight="1">
      <c r="A336" s="5" t="s">
        <v>916</v>
      </c>
      <c r="B336" s="5" t="s">
        <v>97</v>
      </c>
      <c r="C336" s="5">
        <v>34.0</v>
      </c>
      <c r="D336" s="5" t="s">
        <v>92</v>
      </c>
      <c r="E336" s="5" t="s">
        <v>58</v>
      </c>
      <c r="F336" s="5" t="s">
        <v>121</v>
      </c>
      <c r="G336" s="5" t="s">
        <v>60</v>
      </c>
      <c r="H336" s="5">
        <v>9.0</v>
      </c>
      <c r="I336" s="5">
        <v>5.0</v>
      </c>
      <c r="J336" s="5" t="s">
        <v>11</v>
      </c>
      <c r="K336" s="5" t="s">
        <v>128</v>
      </c>
      <c r="L336" s="5" t="s">
        <v>8</v>
      </c>
      <c r="M336" s="5" t="s">
        <v>145</v>
      </c>
      <c r="N336" s="5" t="s">
        <v>77</v>
      </c>
      <c r="O336" s="5" t="s">
        <v>917</v>
      </c>
      <c r="P336" s="12">
        <v>0.0</v>
      </c>
      <c r="Q336" s="5"/>
    </row>
    <row r="337" ht="15.75" customHeight="1">
      <c r="A337" s="7" t="s">
        <v>918</v>
      </c>
      <c r="B337" s="7" t="s">
        <v>919</v>
      </c>
      <c r="C337" s="7">
        <v>28.0</v>
      </c>
      <c r="D337" s="7" t="s">
        <v>57</v>
      </c>
      <c r="E337" s="7" t="s">
        <v>137</v>
      </c>
      <c r="F337" s="7" t="s">
        <v>68</v>
      </c>
      <c r="G337" s="7" t="s">
        <v>60</v>
      </c>
      <c r="H337" s="7">
        <v>33.0</v>
      </c>
      <c r="I337" s="7">
        <v>0.0</v>
      </c>
      <c r="J337" s="7" t="s">
        <v>16</v>
      </c>
      <c r="K337" s="7" t="s">
        <v>102</v>
      </c>
      <c r="L337" s="7" t="s">
        <v>12</v>
      </c>
      <c r="M337" s="7" t="s">
        <v>145</v>
      </c>
      <c r="N337" s="7" t="s">
        <v>152</v>
      </c>
      <c r="O337" s="7" t="s">
        <v>920</v>
      </c>
      <c r="P337" s="13">
        <v>0.0</v>
      </c>
      <c r="Q337" s="7"/>
    </row>
    <row r="338" ht="15.75" customHeight="1">
      <c r="A338" s="5" t="s">
        <v>921</v>
      </c>
      <c r="B338" s="5" t="s">
        <v>922</v>
      </c>
      <c r="C338" s="5">
        <v>43.0</v>
      </c>
      <c r="D338" s="5" t="s">
        <v>92</v>
      </c>
      <c r="E338" s="5" t="s">
        <v>179</v>
      </c>
      <c r="F338" s="5" t="s">
        <v>68</v>
      </c>
      <c r="G338" s="5" t="s">
        <v>69</v>
      </c>
      <c r="H338" s="5">
        <v>7.0</v>
      </c>
      <c r="I338" s="5">
        <v>6.0</v>
      </c>
      <c r="J338" s="5" t="s">
        <v>16</v>
      </c>
      <c r="K338" s="5" t="s">
        <v>61</v>
      </c>
      <c r="L338" s="5" t="s">
        <v>10</v>
      </c>
      <c r="M338" s="5" t="s">
        <v>62</v>
      </c>
      <c r="N338" s="5" t="s">
        <v>72</v>
      </c>
      <c r="O338" s="5" t="s">
        <v>923</v>
      </c>
      <c r="P338" s="12">
        <v>0.0</v>
      </c>
      <c r="Q338" s="5"/>
    </row>
    <row r="339" ht="15.75" customHeight="1">
      <c r="A339" s="7" t="s">
        <v>924</v>
      </c>
      <c r="B339" s="7" t="s">
        <v>109</v>
      </c>
      <c r="C339" s="7">
        <v>34.0</v>
      </c>
      <c r="D339" s="7" t="s">
        <v>92</v>
      </c>
      <c r="E339" s="7" t="s">
        <v>58</v>
      </c>
      <c r="F339" s="7" t="s">
        <v>141</v>
      </c>
      <c r="G339" s="7" t="s">
        <v>60</v>
      </c>
      <c r="H339" s="7">
        <v>38.0</v>
      </c>
      <c r="I339" s="7">
        <v>1.0</v>
      </c>
      <c r="J339" s="7" t="s">
        <v>11</v>
      </c>
      <c r="K339" s="7" t="s">
        <v>88</v>
      </c>
      <c r="L339" s="7" t="s">
        <v>8</v>
      </c>
      <c r="M339" s="7" t="s">
        <v>83</v>
      </c>
      <c r="N339" s="7" t="s">
        <v>77</v>
      </c>
      <c r="O339" s="7" t="s">
        <v>925</v>
      </c>
      <c r="P339" s="13">
        <v>0.0</v>
      </c>
      <c r="Q339" s="7"/>
    </row>
    <row r="340" ht="15.75" customHeight="1">
      <c r="A340" s="5" t="s">
        <v>926</v>
      </c>
      <c r="B340" s="5" t="s">
        <v>484</v>
      </c>
      <c r="C340" s="5">
        <v>37.0</v>
      </c>
      <c r="D340" s="5" t="s">
        <v>57</v>
      </c>
      <c r="E340" s="5" t="s">
        <v>58</v>
      </c>
      <c r="F340" s="5" t="s">
        <v>76</v>
      </c>
      <c r="G340" s="5" t="s">
        <v>60</v>
      </c>
      <c r="H340" s="5">
        <v>29.0</v>
      </c>
      <c r="I340" s="5">
        <v>7.0</v>
      </c>
      <c r="J340" s="5" t="s">
        <v>11</v>
      </c>
      <c r="K340" s="5" t="s">
        <v>128</v>
      </c>
      <c r="L340" s="5" t="s">
        <v>12</v>
      </c>
      <c r="M340" s="5" t="s">
        <v>106</v>
      </c>
      <c r="N340" s="5" t="s">
        <v>152</v>
      </c>
      <c r="O340" s="5" t="s">
        <v>927</v>
      </c>
      <c r="P340" s="12">
        <v>0.0</v>
      </c>
      <c r="Q340" s="5"/>
    </row>
    <row r="341" ht="15.75" customHeight="1">
      <c r="A341" s="7" t="s">
        <v>928</v>
      </c>
      <c r="B341" s="7" t="s">
        <v>320</v>
      </c>
      <c r="C341" s="7">
        <v>35.0</v>
      </c>
      <c r="D341" s="7" t="s">
        <v>57</v>
      </c>
      <c r="E341" s="7" t="s">
        <v>58</v>
      </c>
      <c r="F341" s="7" t="s">
        <v>76</v>
      </c>
      <c r="G341" s="7" t="s">
        <v>60</v>
      </c>
      <c r="H341" s="7">
        <v>32.0</v>
      </c>
      <c r="I341" s="7">
        <v>5.0</v>
      </c>
      <c r="J341" s="7" t="s">
        <v>9</v>
      </c>
      <c r="K341" s="7" t="s">
        <v>94</v>
      </c>
      <c r="L341" s="7" t="s">
        <v>8</v>
      </c>
      <c r="M341" s="7" t="s">
        <v>145</v>
      </c>
      <c r="N341" s="7" t="s">
        <v>84</v>
      </c>
      <c r="O341" s="7" t="s">
        <v>929</v>
      </c>
      <c r="P341" s="13">
        <v>250.0</v>
      </c>
      <c r="Q341" s="7">
        <v>5.0</v>
      </c>
    </row>
    <row r="342" ht="15.75" customHeight="1">
      <c r="A342" s="5" t="s">
        <v>930</v>
      </c>
      <c r="B342" s="5" t="s">
        <v>457</v>
      </c>
      <c r="C342" s="5">
        <v>28.0</v>
      </c>
      <c r="D342" s="5" t="s">
        <v>92</v>
      </c>
      <c r="E342" s="5" t="s">
        <v>58</v>
      </c>
      <c r="F342" s="5" t="s">
        <v>98</v>
      </c>
      <c r="G342" s="5" t="s">
        <v>60</v>
      </c>
      <c r="H342" s="5">
        <v>43.0</v>
      </c>
      <c r="I342" s="5">
        <v>6.0</v>
      </c>
      <c r="J342" s="5" t="s">
        <v>17</v>
      </c>
      <c r="K342" s="5" t="s">
        <v>128</v>
      </c>
      <c r="L342" s="5" t="s">
        <v>14</v>
      </c>
      <c r="M342" s="5" t="s">
        <v>145</v>
      </c>
      <c r="N342" s="5" t="s">
        <v>63</v>
      </c>
      <c r="O342" s="5" t="s">
        <v>931</v>
      </c>
      <c r="P342" s="12">
        <v>0.0</v>
      </c>
      <c r="Q342" s="5"/>
    </row>
    <row r="343" ht="15.75" customHeight="1">
      <c r="A343" s="7" t="s">
        <v>932</v>
      </c>
      <c r="B343" s="7" t="s">
        <v>109</v>
      </c>
      <c r="C343" s="7">
        <v>18.0</v>
      </c>
      <c r="D343" s="7" t="s">
        <v>92</v>
      </c>
      <c r="E343" s="7" t="s">
        <v>58</v>
      </c>
      <c r="F343" s="7" t="s">
        <v>162</v>
      </c>
      <c r="G343" s="7" t="s">
        <v>69</v>
      </c>
      <c r="H343" s="7">
        <v>10.0</v>
      </c>
      <c r="I343" s="7">
        <v>2.0</v>
      </c>
      <c r="J343" s="7" t="s">
        <v>11</v>
      </c>
      <c r="K343" s="7" t="s">
        <v>82</v>
      </c>
      <c r="L343" s="7" t="s">
        <v>14</v>
      </c>
      <c r="M343" s="7" t="s">
        <v>106</v>
      </c>
      <c r="N343" s="7" t="s">
        <v>152</v>
      </c>
      <c r="O343" s="7" t="s">
        <v>933</v>
      </c>
      <c r="P343" s="13">
        <v>0.0</v>
      </c>
      <c r="Q343" s="7"/>
    </row>
    <row r="344" ht="15.75" customHeight="1">
      <c r="A344" s="5" t="s">
        <v>934</v>
      </c>
      <c r="B344" s="5" t="s">
        <v>445</v>
      </c>
      <c r="C344" s="5">
        <v>33.0</v>
      </c>
      <c r="D344" s="5" t="s">
        <v>57</v>
      </c>
      <c r="E344" s="5" t="s">
        <v>58</v>
      </c>
      <c r="F344" s="5" t="s">
        <v>93</v>
      </c>
      <c r="G344" s="5" t="s">
        <v>60</v>
      </c>
      <c r="H344" s="5">
        <v>10.0</v>
      </c>
      <c r="I344" s="5">
        <v>8.0</v>
      </c>
      <c r="J344" s="5" t="s">
        <v>16</v>
      </c>
      <c r="K344" s="5" t="s">
        <v>102</v>
      </c>
      <c r="L344" s="5" t="s">
        <v>14</v>
      </c>
      <c r="M344" s="5" t="s">
        <v>83</v>
      </c>
      <c r="N344" s="5" t="s">
        <v>152</v>
      </c>
      <c r="O344" s="5" t="s">
        <v>935</v>
      </c>
      <c r="P344" s="12">
        <v>0.0</v>
      </c>
      <c r="Q344" s="5"/>
    </row>
    <row r="345" ht="15.75" customHeight="1">
      <c r="A345" s="7" t="s">
        <v>936</v>
      </c>
      <c r="B345" s="7" t="s">
        <v>937</v>
      </c>
      <c r="C345" s="7">
        <v>21.0</v>
      </c>
      <c r="D345" s="7" t="s">
        <v>92</v>
      </c>
      <c r="E345" s="7" t="s">
        <v>58</v>
      </c>
      <c r="F345" s="7" t="s">
        <v>141</v>
      </c>
      <c r="G345" s="7" t="s">
        <v>60</v>
      </c>
      <c r="H345" s="7">
        <v>37.0</v>
      </c>
      <c r="I345" s="7">
        <v>3.0</v>
      </c>
      <c r="J345" s="7" t="s">
        <v>18</v>
      </c>
      <c r="K345" s="7" t="s">
        <v>94</v>
      </c>
      <c r="L345" s="7" t="s">
        <v>12</v>
      </c>
      <c r="M345" s="7" t="s">
        <v>145</v>
      </c>
      <c r="N345" s="7" t="s">
        <v>72</v>
      </c>
      <c r="O345" s="7" t="s">
        <v>938</v>
      </c>
      <c r="P345" s="13">
        <v>0.0</v>
      </c>
      <c r="Q345" s="7"/>
    </row>
    <row r="346" ht="15.75" customHeight="1">
      <c r="A346" s="5" t="s">
        <v>939</v>
      </c>
      <c r="B346" s="5" t="s">
        <v>664</v>
      </c>
      <c r="C346" s="5">
        <v>30.0</v>
      </c>
      <c r="D346" s="5" t="s">
        <v>92</v>
      </c>
      <c r="E346" s="5" t="s">
        <v>58</v>
      </c>
      <c r="F346" s="5" t="s">
        <v>93</v>
      </c>
      <c r="G346" s="5" t="s">
        <v>60</v>
      </c>
      <c r="H346" s="5">
        <v>5.0</v>
      </c>
      <c r="I346" s="5">
        <v>2.0</v>
      </c>
      <c r="J346" s="5" t="s">
        <v>7</v>
      </c>
      <c r="K346" s="5" t="s">
        <v>82</v>
      </c>
      <c r="L346" s="5" t="s">
        <v>14</v>
      </c>
      <c r="M346" s="5" t="s">
        <v>83</v>
      </c>
      <c r="N346" s="5" t="s">
        <v>152</v>
      </c>
      <c r="O346" s="5" t="s">
        <v>940</v>
      </c>
      <c r="P346" s="12">
        <v>0.0</v>
      </c>
      <c r="Q346" s="5"/>
    </row>
    <row r="347" ht="15.75" customHeight="1">
      <c r="A347" s="7" t="s">
        <v>941</v>
      </c>
      <c r="B347" s="7" t="s">
        <v>942</v>
      </c>
      <c r="C347" s="7">
        <v>44.0</v>
      </c>
      <c r="D347" s="7" t="s">
        <v>57</v>
      </c>
      <c r="E347" s="7" t="s">
        <v>58</v>
      </c>
      <c r="F347" s="7" t="s">
        <v>93</v>
      </c>
      <c r="G347" s="7" t="s">
        <v>60</v>
      </c>
      <c r="H347" s="7">
        <v>20.0</v>
      </c>
      <c r="I347" s="7">
        <v>4.0</v>
      </c>
      <c r="J347" s="7" t="s">
        <v>11</v>
      </c>
      <c r="K347" s="7" t="s">
        <v>70</v>
      </c>
      <c r="L347" s="7" t="s">
        <v>10</v>
      </c>
      <c r="M347" s="7" t="s">
        <v>62</v>
      </c>
      <c r="N347" s="7" t="s">
        <v>152</v>
      </c>
      <c r="O347" s="7" t="s">
        <v>943</v>
      </c>
      <c r="P347" s="13">
        <v>0.0</v>
      </c>
      <c r="Q347" s="7"/>
    </row>
    <row r="348" ht="15.75" customHeight="1">
      <c r="A348" s="5" t="s">
        <v>944</v>
      </c>
      <c r="B348" s="5" t="s">
        <v>131</v>
      </c>
      <c r="C348" s="5">
        <v>24.0</v>
      </c>
      <c r="D348" s="5" t="s">
        <v>57</v>
      </c>
      <c r="E348" s="5" t="s">
        <v>58</v>
      </c>
      <c r="F348" s="5" t="s">
        <v>81</v>
      </c>
      <c r="G348" s="5" t="s">
        <v>60</v>
      </c>
      <c r="H348" s="5">
        <v>16.0</v>
      </c>
      <c r="I348" s="5">
        <v>0.0</v>
      </c>
      <c r="J348" s="5" t="s">
        <v>11</v>
      </c>
      <c r="K348" s="5" t="s">
        <v>82</v>
      </c>
      <c r="L348" s="5" t="s">
        <v>8</v>
      </c>
      <c r="M348" s="5" t="s">
        <v>83</v>
      </c>
      <c r="N348" s="5" t="s">
        <v>110</v>
      </c>
      <c r="O348" s="5" t="s">
        <v>945</v>
      </c>
      <c r="P348" s="12">
        <v>0.0</v>
      </c>
      <c r="Q348" s="5"/>
    </row>
    <row r="349" ht="15.75" customHeight="1">
      <c r="A349" s="7" t="s">
        <v>946</v>
      </c>
      <c r="B349" s="7" t="s">
        <v>674</v>
      </c>
      <c r="C349" s="7">
        <v>33.0</v>
      </c>
      <c r="D349" s="7" t="s">
        <v>92</v>
      </c>
      <c r="E349" s="7" t="s">
        <v>58</v>
      </c>
      <c r="F349" s="7" t="s">
        <v>59</v>
      </c>
      <c r="G349" s="7" t="s">
        <v>69</v>
      </c>
      <c r="H349" s="7">
        <v>38.0</v>
      </c>
      <c r="I349" s="7">
        <v>3.0</v>
      </c>
      <c r="J349" s="7" t="s">
        <v>11</v>
      </c>
      <c r="K349" s="7" t="s">
        <v>166</v>
      </c>
      <c r="L349" s="7" t="s">
        <v>8</v>
      </c>
      <c r="M349" s="7" t="s">
        <v>71</v>
      </c>
      <c r="N349" s="7" t="s">
        <v>84</v>
      </c>
      <c r="O349" s="7" t="s">
        <v>947</v>
      </c>
      <c r="P349" s="13">
        <v>3500.0</v>
      </c>
      <c r="Q349" s="7">
        <v>5.0</v>
      </c>
    </row>
    <row r="350" ht="15.75" customHeight="1">
      <c r="A350" s="5" t="s">
        <v>948</v>
      </c>
      <c r="B350" s="5" t="s">
        <v>464</v>
      </c>
      <c r="C350" s="5">
        <v>28.0</v>
      </c>
      <c r="D350" s="5" t="s">
        <v>57</v>
      </c>
      <c r="E350" s="5" t="s">
        <v>114</v>
      </c>
      <c r="F350" s="5" t="s">
        <v>68</v>
      </c>
      <c r="G350" s="5" t="s">
        <v>60</v>
      </c>
      <c r="H350" s="5">
        <v>37.0</v>
      </c>
      <c r="I350" s="5">
        <v>2.0</v>
      </c>
      <c r="J350" s="5" t="s">
        <v>7</v>
      </c>
      <c r="K350" s="5" t="s">
        <v>128</v>
      </c>
      <c r="L350" s="5" t="s">
        <v>12</v>
      </c>
      <c r="M350" s="5" t="s">
        <v>145</v>
      </c>
      <c r="N350" s="5" t="s">
        <v>110</v>
      </c>
      <c r="O350" s="5" t="s">
        <v>949</v>
      </c>
      <c r="P350" s="12">
        <v>0.0</v>
      </c>
      <c r="Q350" s="5"/>
    </row>
    <row r="351" ht="15.75" customHeight="1">
      <c r="A351" s="7" t="s">
        <v>950</v>
      </c>
      <c r="B351" s="7" t="s">
        <v>738</v>
      </c>
      <c r="C351" s="7">
        <v>38.0</v>
      </c>
      <c r="D351" s="7" t="s">
        <v>57</v>
      </c>
      <c r="E351" s="7" t="s">
        <v>179</v>
      </c>
      <c r="F351" s="7" t="s">
        <v>68</v>
      </c>
      <c r="G351" s="7" t="s">
        <v>60</v>
      </c>
      <c r="H351" s="7">
        <v>12.0</v>
      </c>
      <c r="I351" s="7">
        <v>4.0</v>
      </c>
      <c r="J351" s="7" t="s">
        <v>16</v>
      </c>
      <c r="K351" s="7" t="s">
        <v>82</v>
      </c>
      <c r="L351" s="7" t="s">
        <v>12</v>
      </c>
      <c r="M351" s="7" t="s">
        <v>83</v>
      </c>
      <c r="N351" s="7" t="s">
        <v>84</v>
      </c>
      <c r="O351" s="7" t="s">
        <v>951</v>
      </c>
      <c r="P351" s="13">
        <v>1200.0</v>
      </c>
      <c r="Q351" s="7">
        <v>4.0</v>
      </c>
    </row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Q$35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25.0"/>
    <col customWidth="1" min="4" max="4" width="20.0"/>
    <col customWidth="1" min="5" max="5" width="18.0"/>
    <col customWidth="1" min="6" max="6" width="20.0"/>
    <col customWidth="1" min="7" max="7" width="26.0"/>
    <col customWidth="1" min="8" max="8" width="18.0"/>
    <col customWidth="1" min="9" max="9" width="22.0"/>
    <col customWidth="1" min="10" max="10" width="24.0"/>
    <col customWidth="1" min="11" max="11" width="20.0"/>
    <col customWidth="1" min="12" max="13" width="18.0"/>
    <col customWidth="1" min="14" max="15" width="20.0"/>
    <col customWidth="1" min="16" max="26" width="8.71"/>
  </cols>
  <sheetData>
    <row r="1">
      <c r="A1" s="3" t="s">
        <v>952</v>
      </c>
      <c r="B1" s="3" t="s">
        <v>953</v>
      </c>
      <c r="C1" s="3" t="s">
        <v>954</v>
      </c>
      <c r="D1" s="3" t="s">
        <v>955</v>
      </c>
      <c r="E1" s="3" t="s">
        <v>956</v>
      </c>
      <c r="F1" s="3" t="s">
        <v>957</v>
      </c>
      <c r="G1" s="3" t="s">
        <v>958</v>
      </c>
      <c r="H1" s="3" t="s">
        <v>959</v>
      </c>
      <c r="I1" s="3" t="s">
        <v>960</v>
      </c>
      <c r="J1" s="3" t="s">
        <v>961</v>
      </c>
      <c r="K1" s="3" t="s">
        <v>962</v>
      </c>
      <c r="L1" s="3" t="s">
        <v>963</v>
      </c>
      <c r="M1" s="3" t="s">
        <v>964</v>
      </c>
      <c r="N1" s="3" t="s">
        <v>965</v>
      </c>
      <c r="O1" s="3" t="s">
        <v>966</v>
      </c>
    </row>
    <row r="2">
      <c r="A2" s="5" t="s">
        <v>967</v>
      </c>
      <c r="B2" s="5" t="s">
        <v>968</v>
      </c>
      <c r="C2" s="5" t="s">
        <v>969</v>
      </c>
      <c r="D2" s="5" t="s">
        <v>9</v>
      </c>
      <c r="E2" s="5">
        <v>5.0</v>
      </c>
      <c r="F2" s="5" t="s">
        <v>93</v>
      </c>
      <c r="G2" s="5" t="s">
        <v>970</v>
      </c>
      <c r="H2" s="5">
        <v>657.0</v>
      </c>
      <c r="I2" s="5">
        <v>70.0</v>
      </c>
      <c r="J2" s="5">
        <v>13.1</v>
      </c>
      <c r="K2" s="5">
        <v>4.9</v>
      </c>
      <c r="L2" s="14" t="s">
        <v>971</v>
      </c>
      <c r="M2" s="5" t="s">
        <v>972</v>
      </c>
      <c r="N2" s="5" t="s">
        <v>68</v>
      </c>
      <c r="O2" s="12">
        <v>89.7</v>
      </c>
    </row>
    <row r="3">
      <c r="A3" s="7" t="s">
        <v>973</v>
      </c>
      <c r="B3" s="7" t="s">
        <v>968</v>
      </c>
      <c r="C3" s="7" t="s">
        <v>974</v>
      </c>
      <c r="D3" s="7" t="s">
        <v>9</v>
      </c>
      <c r="E3" s="7">
        <v>2.0</v>
      </c>
      <c r="F3" s="7" t="s">
        <v>162</v>
      </c>
      <c r="G3" s="7" t="s">
        <v>970</v>
      </c>
      <c r="H3" s="7">
        <v>392.0</v>
      </c>
      <c r="I3" s="7">
        <v>32.0</v>
      </c>
      <c r="J3" s="7">
        <v>23.8</v>
      </c>
      <c r="K3" s="7">
        <v>4.6</v>
      </c>
      <c r="L3" s="15" t="s">
        <v>971</v>
      </c>
      <c r="M3" s="7" t="s">
        <v>975</v>
      </c>
      <c r="N3" s="7" t="s">
        <v>68</v>
      </c>
      <c r="O3" s="13">
        <v>59.8</v>
      </c>
    </row>
    <row r="4">
      <c r="A4" s="5" t="s">
        <v>976</v>
      </c>
      <c r="B4" s="5" t="s">
        <v>968</v>
      </c>
      <c r="C4" s="5" t="s">
        <v>977</v>
      </c>
      <c r="D4" s="5" t="s">
        <v>13</v>
      </c>
      <c r="E4" s="5">
        <v>2.0</v>
      </c>
      <c r="F4" s="5" t="s">
        <v>93</v>
      </c>
      <c r="G4" s="5" t="s">
        <v>970</v>
      </c>
      <c r="H4" s="5">
        <v>396.0</v>
      </c>
      <c r="I4" s="5">
        <v>45.0</v>
      </c>
      <c r="J4" s="5">
        <v>5.5</v>
      </c>
      <c r="K4" s="5">
        <v>3.8</v>
      </c>
      <c r="L4" s="14" t="s">
        <v>971</v>
      </c>
      <c r="M4" s="5" t="s">
        <v>978</v>
      </c>
      <c r="N4" s="5" t="s">
        <v>68</v>
      </c>
      <c r="O4" s="12">
        <v>149.5</v>
      </c>
    </row>
    <row r="5">
      <c r="A5" s="7" t="s">
        <v>979</v>
      </c>
      <c r="B5" s="7" t="s">
        <v>968</v>
      </c>
      <c r="C5" s="7" t="s">
        <v>980</v>
      </c>
      <c r="D5" s="7" t="s">
        <v>11</v>
      </c>
      <c r="E5" s="7">
        <v>9.0</v>
      </c>
      <c r="F5" s="7" t="s">
        <v>76</v>
      </c>
      <c r="G5" s="7" t="s">
        <v>970</v>
      </c>
      <c r="H5" s="7">
        <v>224.0</v>
      </c>
      <c r="I5" s="7">
        <v>26.0</v>
      </c>
      <c r="J5" s="7">
        <v>47.2</v>
      </c>
      <c r="K5" s="7">
        <v>4.9</v>
      </c>
      <c r="L5" s="15" t="s">
        <v>971</v>
      </c>
      <c r="M5" s="7" t="s">
        <v>981</v>
      </c>
      <c r="N5" s="7" t="s">
        <v>68</v>
      </c>
      <c r="O5" s="13">
        <v>149.5</v>
      </c>
    </row>
    <row r="6">
      <c r="A6" s="5" t="s">
        <v>982</v>
      </c>
      <c r="B6" s="16" t="s">
        <v>983</v>
      </c>
      <c r="C6" s="5" t="s">
        <v>984</v>
      </c>
      <c r="D6" s="5" t="s">
        <v>9</v>
      </c>
      <c r="E6" s="5">
        <v>7.0</v>
      </c>
      <c r="F6" s="5" t="s">
        <v>141</v>
      </c>
      <c r="G6" s="5" t="s">
        <v>970</v>
      </c>
      <c r="H6" s="5">
        <v>4092.0</v>
      </c>
      <c r="I6" s="5">
        <v>656.0</v>
      </c>
      <c r="J6" s="5">
        <v>38.6</v>
      </c>
      <c r="K6" s="5">
        <v>4.6</v>
      </c>
      <c r="L6" s="14" t="s">
        <v>971</v>
      </c>
      <c r="M6" s="5" t="s">
        <v>985</v>
      </c>
      <c r="N6" s="5" t="s">
        <v>68</v>
      </c>
      <c r="O6" s="12">
        <v>239.2</v>
      </c>
    </row>
    <row r="7">
      <c r="A7" s="7" t="s">
        <v>986</v>
      </c>
      <c r="B7" s="17" t="s">
        <v>983</v>
      </c>
      <c r="C7" s="7" t="s">
        <v>987</v>
      </c>
      <c r="D7" s="7" t="s">
        <v>7</v>
      </c>
      <c r="E7" s="7">
        <v>15.0</v>
      </c>
      <c r="F7" s="7" t="s">
        <v>93</v>
      </c>
      <c r="G7" s="7" t="s">
        <v>970</v>
      </c>
      <c r="H7" s="7">
        <v>4128.0</v>
      </c>
      <c r="I7" s="7">
        <v>953.0</v>
      </c>
      <c r="J7" s="7">
        <v>12.0</v>
      </c>
      <c r="K7" s="7">
        <v>4.5</v>
      </c>
      <c r="L7" s="15" t="s">
        <v>971</v>
      </c>
      <c r="M7" s="7" t="s">
        <v>988</v>
      </c>
      <c r="N7" s="7" t="s">
        <v>68</v>
      </c>
      <c r="O7" s="13">
        <v>119.6</v>
      </c>
    </row>
    <row r="8">
      <c r="A8" s="5" t="s">
        <v>989</v>
      </c>
      <c r="B8" s="16" t="s">
        <v>983</v>
      </c>
      <c r="C8" s="5" t="s">
        <v>990</v>
      </c>
      <c r="D8" s="5" t="s">
        <v>17</v>
      </c>
      <c r="E8" s="5">
        <v>1.0</v>
      </c>
      <c r="F8" s="5" t="s">
        <v>141</v>
      </c>
      <c r="G8" s="5" t="s">
        <v>970</v>
      </c>
      <c r="H8" s="5">
        <v>267.0</v>
      </c>
      <c r="I8" s="5">
        <v>62.0</v>
      </c>
      <c r="J8" s="5">
        <v>1.4</v>
      </c>
      <c r="K8" s="5">
        <v>4.7</v>
      </c>
      <c r="L8" s="14" t="s">
        <v>971</v>
      </c>
      <c r="M8" s="5" t="s">
        <v>991</v>
      </c>
      <c r="N8" s="5" t="s">
        <v>68</v>
      </c>
      <c r="O8" s="12">
        <v>239.2</v>
      </c>
    </row>
    <row r="9">
      <c r="A9" s="7" t="s">
        <v>992</v>
      </c>
      <c r="B9" s="7" t="s">
        <v>968</v>
      </c>
      <c r="C9" s="7" t="s">
        <v>308</v>
      </c>
      <c r="D9" s="7" t="s">
        <v>15</v>
      </c>
      <c r="E9" s="7">
        <v>8.0</v>
      </c>
      <c r="F9" s="7" t="s">
        <v>81</v>
      </c>
      <c r="G9" s="7" t="s">
        <v>970</v>
      </c>
      <c r="H9" s="7">
        <v>846.0</v>
      </c>
      <c r="I9" s="7">
        <v>118.0</v>
      </c>
      <c r="J9" s="7">
        <v>19.0</v>
      </c>
      <c r="K9" s="7">
        <v>4.5</v>
      </c>
      <c r="L9" s="15" t="s">
        <v>971</v>
      </c>
      <c r="M9" s="7" t="s">
        <v>993</v>
      </c>
      <c r="N9" s="7" t="s">
        <v>68</v>
      </c>
      <c r="O9" s="13">
        <v>239.2</v>
      </c>
    </row>
    <row r="10">
      <c r="A10" s="5" t="s">
        <v>994</v>
      </c>
      <c r="B10" s="5" t="s">
        <v>968</v>
      </c>
      <c r="C10" s="5" t="s">
        <v>995</v>
      </c>
      <c r="D10" s="5" t="s">
        <v>16</v>
      </c>
      <c r="E10" s="5">
        <v>9.0</v>
      </c>
      <c r="F10" s="5" t="s">
        <v>98</v>
      </c>
      <c r="G10" s="5" t="s">
        <v>970</v>
      </c>
      <c r="H10" s="5">
        <v>1317.0</v>
      </c>
      <c r="I10" s="5">
        <v>151.0</v>
      </c>
      <c r="J10" s="5">
        <v>14.0</v>
      </c>
      <c r="K10" s="5">
        <v>4.4</v>
      </c>
      <c r="L10" s="14" t="s">
        <v>971</v>
      </c>
      <c r="M10" s="5" t="s">
        <v>975</v>
      </c>
      <c r="N10" s="5" t="s">
        <v>68</v>
      </c>
      <c r="O10" s="12">
        <v>59.8</v>
      </c>
    </row>
    <row r="11">
      <c r="A11" s="7" t="s">
        <v>996</v>
      </c>
      <c r="B11" s="7" t="s">
        <v>968</v>
      </c>
      <c r="C11" s="7" t="s">
        <v>215</v>
      </c>
      <c r="D11" s="7" t="s">
        <v>18</v>
      </c>
      <c r="E11" s="7">
        <v>11.0</v>
      </c>
      <c r="F11" s="7" t="s">
        <v>76</v>
      </c>
      <c r="G11" s="7" t="s">
        <v>970</v>
      </c>
      <c r="H11" s="7">
        <v>2423.0</v>
      </c>
      <c r="I11" s="7">
        <v>361.0</v>
      </c>
      <c r="J11" s="7">
        <v>38.7</v>
      </c>
      <c r="K11" s="7">
        <v>4.1</v>
      </c>
      <c r="L11" s="15" t="s">
        <v>971</v>
      </c>
      <c r="M11" s="7" t="s">
        <v>997</v>
      </c>
      <c r="N11" s="7" t="s">
        <v>68</v>
      </c>
      <c r="O11" s="13">
        <v>59.8</v>
      </c>
    </row>
    <row r="12">
      <c r="A12" s="5" t="s">
        <v>998</v>
      </c>
      <c r="B12" s="5" t="s">
        <v>968</v>
      </c>
      <c r="C12" s="5" t="s">
        <v>148</v>
      </c>
      <c r="D12" s="5" t="s">
        <v>11</v>
      </c>
      <c r="E12" s="5">
        <v>3.0</v>
      </c>
      <c r="F12" s="5" t="s">
        <v>162</v>
      </c>
      <c r="G12" s="5" t="s">
        <v>970</v>
      </c>
      <c r="H12" s="5">
        <v>1831.0</v>
      </c>
      <c r="I12" s="5">
        <v>237.0</v>
      </c>
      <c r="J12" s="5">
        <v>43.5</v>
      </c>
      <c r="K12" s="5">
        <v>4.1</v>
      </c>
      <c r="L12" s="14" t="s">
        <v>971</v>
      </c>
      <c r="M12" s="5" t="s">
        <v>999</v>
      </c>
      <c r="N12" s="5" t="s">
        <v>68</v>
      </c>
      <c r="O12" s="12">
        <v>29.9</v>
      </c>
    </row>
    <row r="13">
      <c r="A13" s="7" t="s">
        <v>1000</v>
      </c>
      <c r="B13" s="17" t="s">
        <v>983</v>
      </c>
      <c r="C13" s="7" t="s">
        <v>1001</v>
      </c>
      <c r="D13" s="7" t="s">
        <v>15</v>
      </c>
      <c r="E13" s="7">
        <v>11.0</v>
      </c>
      <c r="F13" s="7" t="s">
        <v>81</v>
      </c>
      <c r="G13" s="7" t="s">
        <v>970</v>
      </c>
      <c r="H13" s="7">
        <v>2235.0</v>
      </c>
      <c r="I13" s="7">
        <v>529.0</v>
      </c>
      <c r="J13" s="7">
        <v>18.3</v>
      </c>
      <c r="K13" s="7">
        <v>3.9</v>
      </c>
      <c r="L13" s="15" t="s">
        <v>971</v>
      </c>
      <c r="M13" s="7" t="s">
        <v>1002</v>
      </c>
      <c r="N13" s="7" t="s">
        <v>68</v>
      </c>
      <c r="O13" s="13">
        <v>269.1</v>
      </c>
    </row>
    <row r="14">
      <c r="A14" s="5" t="s">
        <v>1003</v>
      </c>
      <c r="B14" s="16" t="s">
        <v>983</v>
      </c>
      <c r="C14" s="5" t="s">
        <v>1004</v>
      </c>
      <c r="D14" s="5" t="s">
        <v>9</v>
      </c>
      <c r="E14" s="5">
        <v>1.0</v>
      </c>
      <c r="F14" s="5" t="s">
        <v>162</v>
      </c>
      <c r="G14" s="5" t="s">
        <v>970</v>
      </c>
      <c r="H14" s="5">
        <v>1887.0</v>
      </c>
      <c r="I14" s="5">
        <v>361.0</v>
      </c>
      <c r="J14" s="5">
        <v>19.8</v>
      </c>
      <c r="K14" s="5">
        <v>3.9</v>
      </c>
      <c r="L14" s="14" t="s">
        <v>971</v>
      </c>
      <c r="M14" s="5" t="s">
        <v>1005</v>
      </c>
      <c r="N14" s="5" t="s">
        <v>68</v>
      </c>
      <c r="O14" s="12">
        <v>149.5</v>
      </c>
    </row>
    <row r="15">
      <c r="A15" s="7" t="s">
        <v>1006</v>
      </c>
      <c r="B15" s="7" t="s">
        <v>968</v>
      </c>
      <c r="C15" s="7" t="s">
        <v>977</v>
      </c>
      <c r="D15" s="7" t="s">
        <v>15</v>
      </c>
      <c r="E15" s="7">
        <v>13.0</v>
      </c>
      <c r="F15" s="7" t="s">
        <v>162</v>
      </c>
      <c r="G15" s="7" t="s">
        <v>970</v>
      </c>
      <c r="H15" s="7">
        <v>140.0</v>
      </c>
      <c r="I15" s="7">
        <v>18.0</v>
      </c>
      <c r="J15" s="7">
        <v>35.0</v>
      </c>
      <c r="K15" s="7">
        <v>4.1</v>
      </c>
      <c r="L15" s="15" t="s">
        <v>971</v>
      </c>
      <c r="M15" s="7" t="s">
        <v>978</v>
      </c>
      <c r="N15" s="7" t="s">
        <v>68</v>
      </c>
      <c r="O15" s="13">
        <v>149.5</v>
      </c>
    </row>
    <row r="16">
      <c r="A16" s="5" t="s">
        <v>1007</v>
      </c>
      <c r="B16" s="16" t="s">
        <v>983</v>
      </c>
      <c r="C16" s="5" t="s">
        <v>1001</v>
      </c>
      <c r="D16" s="5" t="s">
        <v>17</v>
      </c>
      <c r="E16" s="5">
        <v>2.0</v>
      </c>
      <c r="F16" s="5" t="s">
        <v>141</v>
      </c>
      <c r="G16" s="5" t="s">
        <v>970</v>
      </c>
      <c r="H16" s="5">
        <v>2460.0</v>
      </c>
      <c r="I16" s="5">
        <v>300.0</v>
      </c>
      <c r="J16" s="5">
        <v>4.2</v>
      </c>
      <c r="K16" s="5">
        <v>4.2</v>
      </c>
      <c r="L16" s="14" t="s">
        <v>971</v>
      </c>
      <c r="M16" s="5" t="s">
        <v>1008</v>
      </c>
      <c r="N16" s="5" t="s">
        <v>68</v>
      </c>
      <c r="O16" s="12">
        <v>59.8</v>
      </c>
    </row>
    <row r="17">
      <c r="A17" s="7" t="s">
        <v>1009</v>
      </c>
      <c r="B17" s="7" t="s">
        <v>968</v>
      </c>
      <c r="C17" s="7" t="s">
        <v>308</v>
      </c>
      <c r="D17" s="7" t="s">
        <v>15</v>
      </c>
      <c r="E17" s="7">
        <v>1.0</v>
      </c>
      <c r="F17" s="7" t="s">
        <v>76</v>
      </c>
      <c r="G17" s="7" t="s">
        <v>970</v>
      </c>
      <c r="H17" s="7">
        <v>104.0</v>
      </c>
      <c r="I17" s="7">
        <v>14.0</v>
      </c>
      <c r="J17" s="7">
        <v>34.8</v>
      </c>
      <c r="K17" s="7">
        <v>4.3</v>
      </c>
      <c r="L17" s="15" t="s">
        <v>971</v>
      </c>
      <c r="M17" s="7" t="s">
        <v>1010</v>
      </c>
      <c r="N17" s="7" t="s">
        <v>68</v>
      </c>
      <c r="O17" s="13">
        <v>89.7</v>
      </c>
    </row>
    <row r="18">
      <c r="A18" s="5" t="s">
        <v>1011</v>
      </c>
      <c r="B18" s="5" t="s">
        <v>968</v>
      </c>
      <c r="C18" s="5" t="s">
        <v>1012</v>
      </c>
      <c r="D18" s="5" t="s">
        <v>7</v>
      </c>
      <c r="E18" s="5">
        <v>14.0</v>
      </c>
      <c r="F18" s="5" t="s">
        <v>98</v>
      </c>
      <c r="G18" s="5" t="s">
        <v>970</v>
      </c>
      <c r="H18" s="5">
        <v>1780.0</v>
      </c>
      <c r="I18" s="5">
        <v>226.0</v>
      </c>
      <c r="J18" s="5">
        <v>8.8</v>
      </c>
      <c r="K18" s="5">
        <v>4.2</v>
      </c>
      <c r="L18" s="14" t="s">
        <v>971</v>
      </c>
      <c r="M18" s="5" t="s">
        <v>1013</v>
      </c>
      <c r="N18" s="5" t="s">
        <v>68</v>
      </c>
      <c r="O18" s="12">
        <v>209.3</v>
      </c>
    </row>
    <row r="19">
      <c r="A19" s="7" t="s">
        <v>1014</v>
      </c>
      <c r="B19" s="7" t="s">
        <v>968</v>
      </c>
      <c r="C19" s="7" t="s">
        <v>1015</v>
      </c>
      <c r="D19" s="7" t="s">
        <v>11</v>
      </c>
      <c r="E19" s="7">
        <v>9.0</v>
      </c>
      <c r="F19" s="7" t="s">
        <v>98</v>
      </c>
      <c r="G19" s="7" t="s">
        <v>970</v>
      </c>
      <c r="H19" s="7">
        <v>2467.0</v>
      </c>
      <c r="I19" s="7">
        <v>137.0</v>
      </c>
      <c r="J19" s="7">
        <v>3.1</v>
      </c>
      <c r="K19" s="7">
        <v>4.4</v>
      </c>
      <c r="L19" s="15" t="s">
        <v>971</v>
      </c>
      <c r="M19" s="7" t="s">
        <v>1016</v>
      </c>
      <c r="N19" s="7" t="s">
        <v>68</v>
      </c>
      <c r="O19" s="13">
        <v>179.4</v>
      </c>
    </row>
    <row r="20">
      <c r="A20" s="5" t="s">
        <v>1017</v>
      </c>
      <c r="B20" s="16" t="s">
        <v>983</v>
      </c>
      <c r="C20" s="5" t="s">
        <v>1018</v>
      </c>
      <c r="D20" s="5" t="s">
        <v>7</v>
      </c>
      <c r="E20" s="5">
        <v>2.0</v>
      </c>
      <c r="F20" s="5" t="s">
        <v>141</v>
      </c>
      <c r="G20" s="5" t="s">
        <v>970</v>
      </c>
      <c r="H20" s="5">
        <v>2994.0</v>
      </c>
      <c r="I20" s="5">
        <v>520.0</v>
      </c>
      <c r="J20" s="5">
        <v>5.6</v>
      </c>
      <c r="K20" s="5">
        <v>4.9</v>
      </c>
      <c r="L20" s="14" t="s">
        <v>971</v>
      </c>
      <c r="M20" s="5" t="s">
        <v>997</v>
      </c>
      <c r="N20" s="5" t="s">
        <v>68</v>
      </c>
      <c r="O20" s="12">
        <v>59.8</v>
      </c>
    </row>
    <row r="21" ht="15.75" customHeight="1">
      <c r="A21" s="7" t="s">
        <v>1019</v>
      </c>
      <c r="B21" s="7" t="s">
        <v>968</v>
      </c>
      <c r="C21" s="7" t="s">
        <v>308</v>
      </c>
      <c r="D21" s="7" t="s">
        <v>16</v>
      </c>
      <c r="E21" s="7">
        <v>2.0</v>
      </c>
      <c r="F21" s="7" t="s">
        <v>121</v>
      </c>
      <c r="G21" s="7" t="s">
        <v>970</v>
      </c>
      <c r="H21" s="7">
        <v>592.0</v>
      </c>
      <c r="I21" s="7">
        <v>32.0</v>
      </c>
      <c r="J21" s="7">
        <v>8.0</v>
      </c>
      <c r="K21" s="7">
        <v>4.6</v>
      </c>
      <c r="L21" s="15" t="s">
        <v>971</v>
      </c>
      <c r="M21" s="7" t="s">
        <v>1020</v>
      </c>
      <c r="N21" s="7" t="s">
        <v>68</v>
      </c>
      <c r="O21" s="13">
        <v>119.6</v>
      </c>
    </row>
    <row r="22" ht="15.75" customHeight="1">
      <c r="A22" s="5" t="s">
        <v>1021</v>
      </c>
      <c r="B22" s="5" t="s">
        <v>968</v>
      </c>
      <c r="C22" s="5" t="s">
        <v>1022</v>
      </c>
      <c r="D22" s="5" t="s">
        <v>15</v>
      </c>
      <c r="E22" s="5">
        <v>10.0</v>
      </c>
      <c r="F22" s="5" t="s">
        <v>59</v>
      </c>
      <c r="G22" s="5" t="s">
        <v>970</v>
      </c>
      <c r="H22" s="5">
        <v>2434.0</v>
      </c>
      <c r="I22" s="5">
        <v>146.0</v>
      </c>
      <c r="J22" s="5">
        <v>20.6</v>
      </c>
      <c r="K22" s="5">
        <v>4.8</v>
      </c>
      <c r="L22" s="14" t="s">
        <v>971</v>
      </c>
      <c r="M22" s="5" t="s">
        <v>1023</v>
      </c>
      <c r="N22" s="5" t="s">
        <v>68</v>
      </c>
      <c r="O22" s="12">
        <v>59.8</v>
      </c>
    </row>
    <row r="23" ht="15.75" customHeight="1">
      <c r="A23" s="7" t="s">
        <v>1024</v>
      </c>
      <c r="B23" s="17" t="s">
        <v>983</v>
      </c>
      <c r="C23" s="7" t="s">
        <v>1025</v>
      </c>
      <c r="D23" s="7" t="s">
        <v>15</v>
      </c>
      <c r="E23" s="7">
        <v>1.0</v>
      </c>
      <c r="F23" s="7" t="s">
        <v>141</v>
      </c>
      <c r="G23" s="7" t="s">
        <v>970</v>
      </c>
      <c r="H23" s="7">
        <v>2319.0</v>
      </c>
      <c r="I23" s="7">
        <v>533.0</v>
      </c>
      <c r="J23" s="7">
        <v>46.7</v>
      </c>
      <c r="K23" s="7">
        <v>4.4</v>
      </c>
      <c r="L23" s="15" t="s">
        <v>971</v>
      </c>
      <c r="M23" s="7" t="s">
        <v>1026</v>
      </c>
      <c r="N23" s="7" t="s">
        <v>68</v>
      </c>
      <c r="O23" s="13">
        <v>149.5</v>
      </c>
    </row>
    <row r="24" ht="15.75" customHeight="1">
      <c r="A24" s="5" t="s">
        <v>1027</v>
      </c>
      <c r="B24" s="5" t="s">
        <v>968</v>
      </c>
      <c r="C24" s="5" t="s">
        <v>148</v>
      </c>
      <c r="D24" s="5" t="s">
        <v>11</v>
      </c>
      <c r="E24" s="5">
        <v>11.0</v>
      </c>
      <c r="F24" s="5" t="s">
        <v>98</v>
      </c>
      <c r="G24" s="5" t="s">
        <v>970</v>
      </c>
      <c r="H24" s="5">
        <v>1359.0</v>
      </c>
      <c r="I24" s="5">
        <v>177.0</v>
      </c>
      <c r="J24" s="5">
        <v>38.6</v>
      </c>
      <c r="K24" s="5">
        <v>4.8</v>
      </c>
      <c r="L24" s="14" t="s">
        <v>971</v>
      </c>
      <c r="M24" s="5" t="s">
        <v>1028</v>
      </c>
      <c r="N24" s="5" t="s">
        <v>68</v>
      </c>
      <c r="O24" s="12">
        <v>119.6</v>
      </c>
    </row>
    <row r="25" ht="15.75" customHeight="1">
      <c r="A25" s="7" t="s">
        <v>1029</v>
      </c>
      <c r="B25" s="7" t="s">
        <v>968</v>
      </c>
      <c r="C25" s="7" t="s">
        <v>1030</v>
      </c>
      <c r="D25" s="7" t="s">
        <v>9</v>
      </c>
      <c r="E25" s="7">
        <v>9.0</v>
      </c>
      <c r="F25" s="7" t="s">
        <v>98</v>
      </c>
      <c r="G25" s="7" t="s">
        <v>970</v>
      </c>
      <c r="H25" s="7">
        <v>2241.0</v>
      </c>
      <c r="I25" s="7">
        <v>224.0</v>
      </c>
      <c r="J25" s="7">
        <v>40.7</v>
      </c>
      <c r="K25" s="7">
        <v>4.6</v>
      </c>
      <c r="L25" s="15" t="s">
        <v>971</v>
      </c>
      <c r="M25" s="7" t="s">
        <v>1031</v>
      </c>
      <c r="N25" s="7" t="s">
        <v>68</v>
      </c>
      <c r="O25" s="13">
        <v>119.6</v>
      </c>
    </row>
    <row r="26" ht="15.75" customHeight="1">
      <c r="A26" s="5" t="s">
        <v>1032</v>
      </c>
      <c r="B26" s="16" t="s">
        <v>983</v>
      </c>
      <c r="C26" s="5" t="s">
        <v>1001</v>
      </c>
      <c r="D26" s="5" t="s">
        <v>13</v>
      </c>
      <c r="E26" s="5">
        <v>6.0</v>
      </c>
      <c r="F26" s="5" t="s">
        <v>162</v>
      </c>
      <c r="G26" s="5" t="s">
        <v>970</v>
      </c>
      <c r="H26" s="5">
        <v>1009.0</v>
      </c>
      <c r="I26" s="5">
        <v>147.0</v>
      </c>
      <c r="J26" s="5">
        <v>46.9</v>
      </c>
      <c r="K26" s="5">
        <v>4.2</v>
      </c>
      <c r="L26" s="14" t="s">
        <v>971</v>
      </c>
      <c r="M26" s="5" t="s">
        <v>1033</v>
      </c>
      <c r="N26" s="5" t="s">
        <v>68</v>
      </c>
      <c r="O26" s="12">
        <v>119.6</v>
      </c>
    </row>
    <row r="27" ht="15.75" customHeight="1">
      <c r="A27" s="7" t="s">
        <v>1034</v>
      </c>
      <c r="B27" s="7" t="s">
        <v>968</v>
      </c>
      <c r="C27" s="7" t="s">
        <v>1035</v>
      </c>
      <c r="D27" s="7" t="s">
        <v>13</v>
      </c>
      <c r="E27" s="7">
        <v>3.0</v>
      </c>
      <c r="F27" s="7" t="s">
        <v>59</v>
      </c>
      <c r="G27" s="7" t="s">
        <v>970</v>
      </c>
      <c r="H27" s="7">
        <v>1790.0</v>
      </c>
      <c r="I27" s="7">
        <v>177.0</v>
      </c>
      <c r="J27" s="7">
        <v>35.2</v>
      </c>
      <c r="K27" s="7">
        <v>4.3</v>
      </c>
      <c r="L27" s="15" t="s">
        <v>971</v>
      </c>
      <c r="M27" s="7" t="s">
        <v>1036</v>
      </c>
      <c r="N27" s="7" t="s">
        <v>68</v>
      </c>
      <c r="O27" s="13">
        <v>149.5</v>
      </c>
    </row>
    <row r="28" ht="15.75" customHeight="1">
      <c r="A28" s="5" t="s">
        <v>1037</v>
      </c>
      <c r="B28" s="16" t="s">
        <v>983</v>
      </c>
      <c r="C28" s="5" t="s">
        <v>1038</v>
      </c>
      <c r="D28" s="5" t="s">
        <v>18</v>
      </c>
      <c r="E28" s="5">
        <v>4.0</v>
      </c>
      <c r="F28" s="5" t="s">
        <v>59</v>
      </c>
      <c r="G28" s="5" t="s">
        <v>970</v>
      </c>
      <c r="H28" s="5">
        <v>3931.0</v>
      </c>
      <c r="I28" s="5">
        <v>600.0</v>
      </c>
      <c r="J28" s="5">
        <v>6.2</v>
      </c>
      <c r="K28" s="5">
        <v>4.0</v>
      </c>
      <c r="L28" s="14" t="s">
        <v>971</v>
      </c>
      <c r="M28" s="5" t="s">
        <v>1039</v>
      </c>
      <c r="N28" s="5" t="s">
        <v>68</v>
      </c>
      <c r="O28" s="12">
        <v>149.5</v>
      </c>
    </row>
    <row r="29" ht="15.75" customHeight="1">
      <c r="A29" s="7" t="s">
        <v>1040</v>
      </c>
      <c r="B29" s="7" t="s">
        <v>968</v>
      </c>
      <c r="C29" s="7" t="s">
        <v>1030</v>
      </c>
      <c r="D29" s="7" t="s">
        <v>13</v>
      </c>
      <c r="E29" s="7">
        <v>6.0</v>
      </c>
      <c r="F29" s="7" t="s">
        <v>76</v>
      </c>
      <c r="G29" s="7" t="s">
        <v>970</v>
      </c>
      <c r="H29" s="7">
        <v>416.0</v>
      </c>
      <c r="I29" s="7">
        <v>37.0</v>
      </c>
      <c r="J29" s="7">
        <v>13.3</v>
      </c>
      <c r="K29" s="7">
        <v>3.8</v>
      </c>
      <c r="L29" s="15" t="s">
        <v>971</v>
      </c>
      <c r="M29" s="7" t="s">
        <v>1041</v>
      </c>
      <c r="N29" s="7" t="s">
        <v>68</v>
      </c>
      <c r="O29" s="13">
        <v>119.6</v>
      </c>
    </row>
    <row r="30" ht="15.75" customHeight="1">
      <c r="A30" s="5" t="s">
        <v>1042</v>
      </c>
      <c r="B30" s="5" t="s">
        <v>968</v>
      </c>
      <c r="C30" s="5" t="s">
        <v>1043</v>
      </c>
      <c r="D30" s="5" t="s">
        <v>7</v>
      </c>
      <c r="E30" s="5">
        <v>4.0</v>
      </c>
      <c r="F30" s="5" t="s">
        <v>59</v>
      </c>
      <c r="G30" s="5" t="s">
        <v>970</v>
      </c>
      <c r="H30" s="5">
        <v>2311.0</v>
      </c>
      <c r="I30" s="5">
        <v>146.0</v>
      </c>
      <c r="J30" s="5">
        <v>14.9</v>
      </c>
      <c r="K30" s="5">
        <v>4.1</v>
      </c>
      <c r="L30" s="14" t="s">
        <v>971</v>
      </c>
      <c r="M30" s="5" t="s">
        <v>1044</v>
      </c>
      <c r="N30" s="5" t="s">
        <v>68</v>
      </c>
      <c r="O30" s="12">
        <v>179.4</v>
      </c>
    </row>
    <row r="31" ht="15.75" customHeight="1">
      <c r="A31" s="7" t="s">
        <v>1045</v>
      </c>
      <c r="B31" s="17" t="s">
        <v>983</v>
      </c>
      <c r="C31" s="7" t="s">
        <v>987</v>
      </c>
      <c r="D31" s="7" t="s">
        <v>17</v>
      </c>
      <c r="E31" s="7">
        <v>15.0</v>
      </c>
      <c r="F31" s="7" t="s">
        <v>76</v>
      </c>
      <c r="G31" s="7" t="s">
        <v>970</v>
      </c>
      <c r="H31" s="7">
        <v>2056.0</v>
      </c>
      <c r="I31" s="7">
        <v>314.0</v>
      </c>
      <c r="J31" s="7">
        <v>19.9</v>
      </c>
      <c r="K31" s="7">
        <v>4.6</v>
      </c>
      <c r="L31" s="15" t="s">
        <v>971</v>
      </c>
      <c r="M31" s="7" t="s">
        <v>1046</v>
      </c>
      <c r="N31" s="7" t="s">
        <v>68</v>
      </c>
      <c r="O31" s="13">
        <v>179.4</v>
      </c>
    </row>
    <row r="32" ht="15.75" customHeight="1">
      <c r="A32" s="5" t="s">
        <v>1047</v>
      </c>
      <c r="B32" s="16" t="s">
        <v>983</v>
      </c>
      <c r="C32" s="5" t="s">
        <v>1048</v>
      </c>
      <c r="D32" s="5" t="s">
        <v>18</v>
      </c>
      <c r="E32" s="5">
        <v>12.0</v>
      </c>
      <c r="F32" s="5" t="s">
        <v>162</v>
      </c>
      <c r="G32" s="5" t="s">
        <v>970</v>
      </c>
      <c r="H32" s="5">
        <v>4888.0</v>
      </c>
      <c r="I32" s="5">
        <v>1075.0</v>
      </c>
      <c r="J32" s="5">
        <v>10.1</v>
      </c>
      <c r="K32" s="5">
        <v>3.8</v>
      </c>
      <c r="L32" s="14" t="s">
        <v>971</v>
      </c>
      <c r="M32" s="5" t="s">
        <v>1049</v>
      </c>
      <c r="N32" s="5" t="s">
        <v>68</v>
      </c>
      <c r="O32" s="12">
        <v>299.0</v>
      </c>
    </row>
    <row r="33" ht="15.75" customHeight="1">
      <c r="A33" s="7" t="s">
        <v>1050</v>
      </c>
      <c r="B33" s="7" t="s">
        <v>968</v>
      </c>
      <c r="C33" s="7" t="s">
        <v>1051</v>
      </c>
      <c r="D33" s="7" t="s">
        <v>16</v>
      </c>
      <c r="E33" s="7">
        <v>7.0</v>
      </c>
      <c r="F33" s="7" t="s">
        <v>76</v>
      </c>
      <c r="G33" s="7" t="s">
        <v>970</v>
      </c>
      <c r="H33" s="7">
        <v>1938.0</v>
      </c>
      <c r="I33" s="7">
        <v>149.0</v>
      </c>
      <c r="J33" s="7">
        <v>30.4</v>
      </c>
      <c r="K33" s="7">
        <v>3.8</v>
      </c>
      <c r="L33" s="18" t="s">
        <v>1052</v>
      </c>
      <c r="M33" s="7" t="s">
        <v>1053</v>
      </c>
      <c r="N33" s="7" t="s">
        <v>1054</v>
      </c>
      <c r="O33" s="13">
        <v>59.8</v>
      </c>
    </row>
    <row r="34" ht="15.75" customHeight="1">
      <c r="A34" s="5" t="s">
        <v>1055</v>
      </c>
      <c r="B34" s="5" t="s">
        <v>968</v>
      </c>
      <c r="C34" s="5" t="s">
        <v>1056</v>
      </c>
      <c r="D34" s="5" t="s">
        <v>15</v>
      </c>
      <c r="E34" s="5">
        <v>6.0</v>
      </c>
      <c r="F34" s="5" t="s">
        <v>162</v>
      </c>
      <c r="G34" s="5" t="s">
        <v>970</v>
      </c>
      <c r="H34" s="5">
        <v>874.0</v>
      </c>
      <c r="I34" s="5">
        <v>111.0</v>
      </c>
      <c r="J34" s="5">
        <v>14.5</v>
      </c>
      <c r="K34" s="5">
        <v>4.8</v>
      </c>
      <c r="L34" s="14" t="s">
        <v>971</v>
      </c>
      <c r="M34" s="5" t="s">
        <v>1057</v>
      </c>
      <c r="N34" s="5" t="s">
        <v>68</v>
      </c>
      <c r="O34" s="12">
        <v>59.8</v>
      </c>
    </row>
    <row r="35" ht="15.75" customHeight="1">
      <c r="A35" s="7" t="s">
        <v>1058</v>
      </c>
      <c r="B35" s="17" t="s">
        <v>983</v>
      </c>
      <c r="C35" s="7" t="s">
        <v>1059</v>
      </c>
      <c r="D35" s="7" t="s">
        <v>17</v>
      </c>
      <c r="E35" s="7">
        <v>1.0</v>
      </c>
      <c r="F35" s="7" t="s">
        <v>93</v>
      </c>
      <c r="G35" s="7" t="s">
        <v>970</v>
      </c>
      <c r="H35" s="7">
        <v>2253.0</v>
      </c>
      <c r="I35" s="7">
        <v>334.0</v>
      </c>
      <c r="J35" s="7">
        <v>36.9</v>
      </c>
      <c r="K35" s="7">
        <v>4.3</v>
      </c>
      <c r="L35" s="15" t="s">
        <v>971</v>
      </c>
      <c r="M35" s="7" t="s">
        <v>988</v>
      </c>
      <c r="N35" s="7" t="s">
        <v>68</v>
      </c>
      <c r="O35" s="13">
        <v>119.6</v>
      </c>
    </row>
    <row r="36" ht="15.75" customHeight="1">
      <c r="A36" s="5" t="s">
        <v>1060</v>
      </c>
      <c r="B36" s="5" t="s">
        <v>968</v>
      </c>
      <c r="C36" s="5" t="s">
        <v>995</v>
      </c>
      <c r="D36" s="5" t="s">
        <v>15</v>
      </c>
      <c r="E36" s="5">
        <v>1.0</v>
      </c>
      <c r="F36" s="5" t="s">
        <v>162</v>
      </c>
      <c r="G36" s="5" t="s">
        <v>970</v>
      </c>
      <c r="H36" s="5">
        <v>679.0</v>
      </c>
      <c r="I36" s="5">
        <v>79.0</v>
      </c>
      <c r="J36" s="5">
        <v>21.4</v>
      </c>
      <c r="K36" s="5">
        <v>4.8</v>
      </c>
      <c r="L36" s="14" t="s">
        <v>971</v>
      </c>
      <c r="M36" s="5" t="s">
        <v>1061</v>
      </c>
      <c r="N36" s="5" t="s">
        <v>68</v>
      </c>
      <c r="O36" s="12">
        <v>209.3</v>
      </c>
    </row>
    <row r="37" ht="15.75" customHeight="1">
      <c r="A37" s="7" t="s">
        <v>1062</v>
      </c>
      <c r="B37" s="7" t="s">
        <v>968</v>
      </c>
      <c r="C37" s="7" t="s">
        <v>1043</v>
      </c>
      <c r="D37" s="7" t="s">
        <v>17</v>
      </c>
      <c r="E37" s="7">
        <v>5.0</v>
      </c>
      <c r="F37" s="7" t="s">
        <v>162</v>
      </c>
      <c r="G37" s="7" t="s">
        <v>970</v>
      </c>
      <c r="H37" s="7">
        <v>2439.0</v>
      </c>
      <c r="I37" s="7">
        <v>256.0</v>
      </c>
      <c r="J37" s="7">
        <v>23.9</v>
      </c>
      <c r="K37" s="7">
        <v>4.3</v>
      </c>
      <c r="L37" s="15" t="s">
        <v>971</v>
      </c>
      <c r="M37" s="7" t="s">
        <v>1063</v>
      </c>
      <c r="N37" s="7" t="s">
        <v>68</v>
      </c>
      <c r="O37" s="13">
        <v>89.7</v>
      </c>
    </row>
    <row r="38" ht="15.75" customHeight="1">
      <c r="A38" s="5" t="s">
        <v>1064</v>
      </c>
      <c r="B38" s="16" t="s">
        <v>983</v>
      </c>
      <c r="C38" s="5" t="s">
        <v>1001</v>
      </c>
      <c r="D38" s="5" t="s">
        <v>17</v>
      </c>
      <c r="E38" s="5">
        <v>1.0</v>
      </c>
      <c r="F38" s="5" t="s">
        <v>81</v>
      </c>
      <c r="G38" s="5" t="s">
        <v>970</v>
      </c>
      <c r="H38" s="5">
        <v>1768.0</v>
      </c>
      <c r="I38" s="5">
        <v>281.0</v>
      </c>
      <c r="J38" s="5">
        <v>2.1</v>
      </c>
      <c r="K38" s="5">
        <v>4.2</v>
      </c>
      <c r="L38" s="14" t="s">
        <v>971</v>
      </c>
      <c r="M38" s="5" t="s">
        <v>1065</v>
      </c>
      <c r="N38" s="5" t="s">
        <v>68</v>
      </c>
      <c r="O38" s="12">
        <v>179.4</v>
      </c>
    </row>
    <row r="39" ht="15.75" customHeight="1">
      <c r="A39" s="7" t="s">
        <v>1066</v>
      </c>
      <c r="B39" s="17" t="s">
        <v>983</v>
      </c>
      <c r="C39" s="7" t="s">
        <v>1067</v>
      </c>
      <c r="D39" s="7" t="s">
        <v>9</v>
      </c>
      <c r="E39" s="7">
        <v>4.0</v>
      </c>
      <c r="F39" s="7" t="s">
        <v>76</v>
      </c>
      <c r="G39" s="7" t="s">
        <v>970</v>
      </c>
      <c r="H39" s="7">
        <v>937.0</v>
      </c>
      <c r="I39" s="7">
        <v>215.0</v>
      </c>
      <c r="J39" s="7">
        <v>17.1</v>
      </c>
      <c r="K39" s="7">
        <v>4.3</v>
      </c>
      <c r="L39" s="15" t="s">
        <v>971</v>
      </c>
      <c r="M39" s="7" t="s">
        <v>1023</v>
      </c>
      <c r="N39" s="7" t="s">
        <v>68</v>
      </c>
      <c r="O39" s="13">
        <v>59.8</v>
      </c>
    </row>
    <row r="40" ht="15.75" customHeight="1">
      <c r="A40" s="5" t="s">
        <v>1068</v>
      </c>
      <c r="B40" s="5" t="s">
        <v>968</v>
      </c>
      <c r="C40" s="5" t="s">
        <v>1069</v>
      </c>
      <c r="D40" s="5" t="s">
        <v>17</v>
      </c>
      <c r="E40" s="5">
        <v>11.0</v>
      </c>
      <c r="F40" s="5" t="s">
        <v>98</v>
      </c>
      <c r="G40" s="5" t="s">
        <v>970</v>
      </c>
      <c r="H40" s="5">
        <v>1546.0</v>
      </c>
      <c r="I40" s="5">
        <v>126.0</v>
      </c>
      <c r="J40" s="5">
        <v>40.7</v>
      </c>
      <c r="K40" s="5">
        <v>4.3</v>
      </c>
      <c r="L40" s="14" t="s">
        <v>971</v>
      </c>
      <c r="M40" s="5" t="s">
        <v>1070</v>
      </c>
      <c r="N40" s="5" t="s">
        <v>68</v>
      </c>
      <c r="O40" s="12">
        <v>269.1</v>
      </c>
    </row>
    <row r="41" ht="15.75" customHeight="1">
      <c r="A41" s="7" t="s">
        <v>1071</v>
      </c>
      <c r="B41" s="17" t="s">
        <v>983</v>
      </c>
      <c r="C41" s="7" t="s">
        <v>1038</v>
      </c>
      <c r="D41" s="7" t="s">
        <v>18</v>
      </c>
      <c r="E41" s="7">
        <v>14.0</v>
      </c>
      <c r="F41" s="7" t="s">
        <v>98</v>
      </c>
      <c r="G41" s="7" t="s">
        <v>970</v>
      </c>
      <c r="H41" s="7">
        <v>3120.0</v>
      </c>
      <c r="I41" s="7">
        <v>412.0</v>
      </c>
      <c r="J41" s="7">
        <v>40.3</v>
      </c>
      <c r="K41" s="7">
        <v>4.5</v>
      </c>
      <c r="L41" s="15" t="s">
        <v>971</v>
      </c>
      <c r="M41" s="7" t="s">
        <v>1072</v>
      </c>
      <c r="N41" s="7" t="s">
        <v>68</v>
      </c>
      <c r="O41" s="13">
        <v>239.2</v>
      </c>
    </row>
    <row r="42" ht="15.75" customHeight="1">
      <c r="A42" s="5" t="s">
        <v>1073</v>
      </c>
      <c r="B42" s="5" t="s">
        <v>968</v>
      </c>
      <c r="C42" s="5" t="s">
        <v>1043</v>
      </c>
      <c r="D42" s="5" t="s">
        <v>11</v>
      </c>
      <c r="E42" s="5">
        <v>7.0</v>
      </c>
      <c r="F42" s="5" t="s">
        <v>98</v>
      </c>
      <c r="G42" s="5" t="s">
        <v>970</v>
      </c>
      <c r="H42" s="5">
        <v>262.0</v>
      </c>
      <c r="I42" s="5">
        <v>33.0</v>
      </c>
      <c r="J42" s="5">
        <v>7.9</v>
      </c>
      <c r="K42" s="5">
        <v>4.9</v>
      </c>
      <c r="L42" s="14" t="s">
        <v>971</v>
      </c>
      <c r="M42" s="5" t="s">
        <v>1074</v>
      </c>
      <c r="N42" s="5" t="s">
        <v>68</v>
      </c>
      <c r="O42" s="12">
        <v>179.4</v>
      </c>
    </row>
    <row r="43" ht="15.75" customHeight="1">
      <c r="A43" s="7" t="s">
        <v>1075</v>
      </c>
      <c r="B43" s="17" t="s">
        <v>983</v>
      </c>
      <c r="C43" s="7" t="s">
        <v>1076</v>
      </c>
      <c r="D43" s="7" t="s">
        <v>15</v>
      </c>
      <c r="E43" s="7">
        <v>4.0</v>
      </c>
      <c r="F43" s="7" t="s">
        <v>98</v>
      </c>
      <c r="G43" s="7" t="s">
        <v>970</v>
      </c>
      <c r="H43" s="7">
        <v>702.0</v>
      </c>
      <c r="I43" s="7">
        <v>75.0</v>
      </c>
      <c r="J43" s="7">
        <v>39.0</v>
      </c>
      <c r="K43" s="7">
        <v>3.9</v>
      </c>
      <c r="L43" s="15" t="s">
        <v>971</v>
      </c>
      <c r="M43" s="7" t="s">
        <v>1077</v>
      </c>
      <c r="N43" s="7" t="s">
        <v>68</v>
      </c>
      <c r="O43" s="13">
        <v>59.8</v>
      </c>
    </row>
    <row r="44" ht="15.75" customHeight="1">
      <c r="A44" s="5" t="s">
        <v>1078</v>
      </c>
      <c r="B44" s="5" t="s">
        <v>968</v>
      </c>
      <c r="C44" s="5" t="s">
        <v>148</v>
      </c>
      <c r="D44" s="5" t="s">
        <v>17</v>
      </c>
      <c r="E44" s="5">
        <v>1.0</v>
      </c>
      <c r="F44" s="5" t="s">
        <v>93</v>
      </c>
      <c r="G44" s="5" t="s">
        <v>970</v>
      </c>
      <c r="H44" s="5">
        <v>1528.0</v>
      </c>
      <c r="I44" s="5">
        <v>100.0</v>
      </c>
      <c r="J44" s="5">
        <v>46.7</v>
      </c>
      <c r="K44" s="5">
        <v>4.9</v>
      </c>
      <c r="L44" s="14" t="s">
        <v>971</v>
      </c>
      <c r="M44" s="5" t="s">
        <v>1079</v>
      </c>
      <c r="N44" s="5" t="s">
        <v>68</v>
      </c>
      <c r="O44" s="12">
        <v>149.5</v>
      </c>
    </row>
    <row r="45" ht="15.75" customHeight="1">
      <c r="A45" s="7" t="s">
        <v>1080</v>
      </c>
      <c r="B45" s="7" t="s">
        <v>968</v>
      </c>
      <c r="C45" s="7" t="s">
        <v>1081</v>
      </c>
      <c r="D45" s="7" t="s">
        <v>13</v>
      </c>
      <c r="E45" s="7">
        <v>3.0</v>
      </c>
      <c r="F45" s="7" t="s">
        <v>76</v>
      </c>
      <c r="G45" s="7" t="s">
        <v>970</v>
      </c>
      <c r="H45" s="7">
        <v>456.0</v>
      </c>
      <c r="I45" s="7">
        <v>35.0</v>
      </c>
      <c r="J45" s="7">
        <v>34.3</v>
      </c>
      <c r="K45" s="7">
        <v>4.9</v>
      </c>
      <c r="L45" s="15" t="s">
        <v>971</v>
      </c>
      <c r="M45" s="7" t="s">
        <v>1082</v>
      </c>
      <c r="N45" s="7" t="s">
        <v>68</v>
      </c>
      <c r="O45" s="13">
        <v>29.9</v>
      </c>
    </row>
    <row r="46" ht="15.75" customHeight="1">
      <c r="A46" s="5" t="s">
        <v>1083</v>
      </c>
      <c r="B46" s="5" t="s">
        <v>968</v>
      </c>
      <c r="C46" s="5" t="s">
        <v>1084</v>
      </c>
      <c r="D46" s="5" t="s">
        <v>18</v>
      </c>
      <c r="E46" s="5">
        <v>15.0</v>
      </c>
      <c r="F46" s="5" t="s">
        <v>141</v>
      </c>
      <c r="G46" s="5" t="s">
        <v>970</v>
      </c>
      <c r="H46" s="5">
        <v>1157.0</v>
      </c>
      <c r="I46" s="5">
        <v>143.0</v>
      </c>
      <c r="J46" s="5">
        <v>29.9</v>
      </c>
      <c r="K46" s="5">
        <v>4.4</v>
      </c>
      <c r="L46" s="14" t="s">
        <v>971</v>
      </c>
      <c r="M46" s="5" t="s">
        <v>1085</v>
      </c>
      <c r="N46" s="5" t="s">
        <v>68</v>
      </c>
      <c r="O46" s="12">
        <v>269.1</v>
      </c>
    </row>
    <row r="47" ht="15.75" customHeight="1">
      <c r="A47" s="7" t="s">
        <v>1086</v>
      </c>
      <c r="B47" s="7" t="s">
        <v>968</v>
      </c>
      <c r="C47" s="7" t="s">
        <v>1081</v>
      </c>
      <c r="D47" s="7" t="s">
        <v>17</v>
      </c>
      <c r="E47" s="7">
        <v>13.0</v>
      </c>
      <c r="F47" s="7" t="s">
        <v>59</v>
      </c>
      <c r="G47" s="7" t="s">
        <v>970</v>
      </c>
      <c r="H47" s="7">
        <v>444.0</v>
      </c>
      <c r="I47" s="7">
        <v>47.0</v>
      </c>
      <c r="J47" s="7">
        <v>24.5</v>
      </c>
      <c r="K47" s="7">
        <v>4.4</v>
      </c>
      <c r="L47" s="15" t="s">
        <v>971</v>
      </c>
      <c r="M47" s="7" t="s">
        <v>1087</v>
      </c>
      <c r="N47" s="7" t="s">
        <v>68</v>
      </c>
      <c r="O47" s="13">
        <v>179.4</v>
      </c>
    </row>
    <row r="48" ht="15.75" customHeight="1">
      <c r="A48" s="5" t="s">
        <v>1088</v>
      </c>
      <c r="B48" s="16" t="s">
        <v>983</v>
      </c>
      <c r="C48" s="5" t="s">
        <v>987</v>
      </c>
      <c r="D48" s="5" t="s">
        <v>15</v>
      </c>
      <c r="E48" s="5">
        <v>15.0</v>
      </c>
      <c r="F48" s="5" t="s">
        <v>93</v>
      </c>
      <c r="G48" s="5" t="s">
        <v>970</v>
      </c>
      <c r="H48" s="5">
        <v>2841.0</v>
      </c>
      <c r="I48" s="5">
        <v>336.0</v>
      </c>
      <c r="J48" s="5">
        <v>2.3</v>
      </c>
      <c r="K48" s="5">
        <v>4.4</v>
      </c>
      <c r="L48" s="14" t="s">
        <v>971</v>
      </c>
      <c r="M48" s="5" t="s">
        <v>1089</v>
      </c>
      <c r="N48" s="5" t="s">
        <v>68</v>
      </c>
      <c r="O48" s="12">
        <v>119.6</v>
      </c>
    </row>
    <row r="49" ht="15.75" customHeight="1">
      <c r="A49" s="7" t="s">
        <v>1090</v>
      </c>
      <c r="B49" s="7" t="s">
        <v>968</v>
      </c>
      <c r="C49" s="7" t="s">
        <v>1091</v>
      </c>
      <c r="D49" s="7" t="s">
        <v>18</v>
      </c>
      <c r="E49" s="7">
        <v>15.0</v>
      </c>
      <c r="F49" s="7" t="s">
        <v>59</v>
      </c>
      <c r="G49" s="7" t="s">
        <v>970</v>
      </c>
      <c r="H49" s="7">
        <v>1454.0</v>
      </c>
      <c r="I49" s="7">
        <v>191.0</v>
      </c>
      <c r="J49" s="7">
        <v>28.7</v>
      </c>
      <c r="K49" s="7">
        <v>3.9</v>
      </c>
      <c r="L49" s="15" t="s">
        <v>971</v>
      </c>
      <c r="M49" s="7" t="s">
        <v>1092</v>
      </c>
      <c r="N49" s="7" t="s">
        <v>68</v>
      </c>
      <c r="O49" s="13">
        <v>119.6</v>
      </c>
    </row>
    <row r="50" ht="15.75" customHeight="1">
      <c r="A50" s="5" t="s">
        <v>1093</v>
      </c>
      <c r="B50" s="5" t="s">
        <v>968</v>
      </c>
      <c r="C50" s="5" t="s">
        <v>1094</v>
      </c>
      <c r="D50" s="5" t="s">
        <v>15</v>
      </c>
      <c r="E50" s="5">
        <v>3.0</v>
      </c>
      <c r="F50" s="5" t="s">
        <v>121</v>
      </c>
      <c r="G50" s="5" t="s">
        <v>970</v>
      </c>
      <c r="H50" s="5">
        <v>1202.0</v>
      </c>
      <c r="I50" s="5">
        <v>90.0</v>
      </c>
      <c r="J50" s="5">
        <v>12.7</v>
      </c>
      <c r="K50" s="5">
        <v>3.9</v>
      </c>
      <c r="L50" s="14" t="s">
        <v>971</v>
      </c>
      <c r="M50" s="5" t="s">
        <v>1005</v>
      </c>
      <c r="N50" s="5" t="s">
        <v>68</v>
      </c>
      <c r="O50" s="12">
        <v>149.5</v>
      </c>
    </row>
    <row r="51" ht="15.75" customHeight="1">
      <c r="A51" s="7" t="s">
        <v>1095</v>
      </c>
      <c r="B51" s="17" t="s">
        <v>983</v>
      </c>
      <c r="C51" s="7" t="s">
        <v>1004</v>
      </c>
      <c r="D51" s="7" t="s">
        <v>18</v>
      </c>
      <c r="E51" s="7">
        <v>14.0</v>
      </c>
      <c r="F51" s="7" t="s">
        <v>98</v>
      </c>
      <c r="G51" s="7" t="s">
        <v>970</v>
      </c>
      <c r="H51" s="7">
        <v>1357.0</v>
      </c>
      <c r="I51" s="7">
        <v>244.0</v>
      </c>
      <c r="J51" s="7">
        <v>14.5</v>
      </c>
      <c r="K51" s="7">
        <v>4.7</v>
      </c>
      <c r="L51" s="15" t="s">
        <v>971</v>
      </c>
      <c r="M51" s="7" t="s">
        <v>1096</v>
      </c>
      <c r="N51" s="7" t="s">
        <v>68</v>
      </c>
      <c r="O51" s="13">
        <v>59.8</v>
      </c>
    </row>
    <row r="52" ht="15.75" customHeight="1">
      <c r="A52" s="5" t="s">
        <v>1097</v>
      </c>
      <c r="B52" s="5" t="s">
        <v>968</v>
      </c>
      <c r="C52" s="5" t="s">
        <v>1098</v>
      </c>
      <c r="D52" s="5" t="s">
        <v>15</v>
      </c>
      <c r="E52" s="5">
        <v>3.0</v>
      </c>
      <c r="F52" s="5" t="s">
        <v>76</v>
      </c>
      <c r="G52" s="5" t="s">
        <v>970</v>
      </c>
      <c r="H52" s="5">
        <v>1269.0</v>
      </c>
      <c r="I52" s="5">
        <v>161.0</v>
      </c>
      <c r="J52" s="5">
        <v>11.8</v>
      </c>
      <c r="K52" s="5">
        <v>3.9</v>
      </c>
      <c r="L52" s="14" t="s">
        <v>971</v>
      </c>
      <c r="M52" s="5" t="s">
        <v>1099</v>
      </c>
      <c r="N52" s="5" t="s">
        <v>68</v>
      </c>
      <c r="O52" s="12">
        <v>89.7</v>
      </c>
    </row>
    <row r="53" ht="15.75" customHeight="1">
      <c r="A53" s="7" t="s">
        <v>1100</v>
      </c>
      <c r="B53" s="7" t="s">
        <v>968</v>
      </c>
      <c r="C53" s="7" t="s">
        <v>977</v>
      </c>
      <c r="D53" s="7" t="s">
        <v>16</v>
      </c>
      <c r="E53" s="7">
        <v>4.0</v>
      </c>
      <c r="F53" s="7" t="s">
        <v>98</v>
      </c>
      <c r="G53" s="7" t="s">
        <v>970</v>
      </c>
      <c r="H53" s="7">
        <v>1325.0</v>
      </c>
      <c r="I53" s="7">
        <v>97.0</v>
      </c>
      <c r="J53" s="7">
        <v>14.5</v>
      </c>
      <c r="K53" s="7">
        <v>4.6</v>
      </c>
      <c r="L53" s="15" t="s">
        <v>971</v>
      </c>
      <c r="M53" s="7" t="s">
        <v>1101</v>
      </c>
      <c r="N53" s="7" t="s">
        <v>68</v>
      </c>
      <c r="O53" s="13">
        <v>179.4</v>
      </c>
    </row>
    <row r="54" ht="15.75" customHeight="1">
      <c r="A54" s="5" t="s">
        <v>1102</v>
      </c>
      <c r="B54" s="16" t="s">
        <v>983</v>
      </c>
      <c r="C54" s="5" t="s">
        <v>1059</v>
      </c>
      <c r="D54" s="5" t="s">
        <v>7</v>
      </c>
      <c r="E54" s="5">
        <v>10.0</v>
      </c>
      <c r="F54" s="5" t="s">
        <v>93</v>
      </c>
      <c r="G54" s="5" t="s">
        <v>970</v>
      </c>
      <c r="H54" s="5">
        <v>1986.0</v>
      </c>
      <c r="I54" s="5">
        <v>286.0</v>
      </c>
      <c r="J54" s="5">
        <v>9.8</v>
      </c>
      <c r="K54" s="5">
        <v>3.9</v>
      </c>
      <c r="L54" s="14" t="s">
        <v>971</v>
      </c>
      <c r="M54" s="5" t="s">
        <v>1103</v>
      </c>
      <c r="N54" s="5" t="s">
        <v>68</v>
      </c>
      <c r="O54" s="12">
        <v>59.8</v>
      </c>
    </row>
    <row r="55" ht="15.75" customHeight="1">
      <c r="A55" s="7" t="s">
        <v>1104</v>
      </c>
      <c r="B55" s="7" t="s">
        <v>968</v>
      </c>
      <c r="C55" s="7" t="s">
        <v>1105</v>
      </c>
      <c r="D55" s="7" t="s">
        <v>11</v>
      </c>
      <c r="E55" s="7">
        <v>3.0</v>
      </c>
      <c r="F55" s="7" t="s">
        <v>76</v>
      </c>
      <c r="G55" s="7" t="s">
        <v>970</v>
      </c>
      <c r="H55" s="7">
        <v>1011.0</v>
      </c>
      <c r="I55" s="7">
        <v>117.0</v>
      </c>
      <c r="J55" s="7">
        <v>47.6</v>
      </c>
      <c r="K55" s="7">
        <v>4.8</v>
      </c>
      <c r="L55" s="15" t="s">
        <v>971</v>
      </c>
      <c r="M55" s="7" t="s">
        <v>1106</v>
      </c>
      <c r="N55" s="7" t="s">
        <v>68</v>
      </c>
      <c r="O55" s="13">
        <v>89.7</v>
      </c>
    </row>
    <row r="56" ht="15.75" customHeight="1">
      <c r="A56" s="5" t="s">
        <v>1107</v>
      </c>
      <c r="B56" s="16" t="s">
        <v>983</v>
      </c>
      <c r="C56" s="5" t="s">
        <v>1108</v>
      </c>
      <c r="D56" s="5" t="s">
        <v>16</v>
      </c>
      <c r="E56" s="5">
        <v>3.0</v>
      </c>
      <c r="F56" s="5" t="s">
        <v>162</v>
      </c>
      <c r="G56" s="5" t="s">
        <v>970</v>
      </c>
      <c r="H56" s="5">
        <v>541.0</v>
      </c>
      <c r="I56" s="5">
        <v>88.0</v>
      </c>
      <c r="J56" s="5">
        <v>11.6</v>
      </c>
      <c r="K56" s="5">
        <v>4.6</v>
      </c>
      <c r="L56" s="14" t="s">
        <v>971</v>
      </c>
      <c r="M56" s="5" t="s">
        <v>1109</v>
      </c>
      <c r="N56" s="5" t="s">
        <v>68</v>
      </c>
      <c r="O56" s="12">
        <v>209.3</v>
      </c>
    </row>
    <row r="57" ht="15.75" customHeight="1">
      <c r="A57" s="7" t="s">
        <v>1110</v>
      </c>
      <c r="B57" s="7" t="s">
        <v>968</v>
      </c>
      <c r="C57" s="7" t="s">
        <v>1105</v>
      </c>
      <c r="D57" s="7" t="s">
        <v>16</v>
      </c>
      <c r="E57" s="7">
        <v>6.0</v>
      </c>
      <c r="F57" s="7" t="s">
        <v>162</v>
      </c>
      <c r="G57" s="7" t="s">
        <v>970</v>
      </c>
      <c r="H57" s="7">
        <v>1924.0</v>
      </c>
      <c r="I57" s="7">
        <v>192.0</v>
      </c>
      <c r="J57" s="7">
        <v>1.0</v>
      </c>
      <c r="K57" s="7">
        <v>4.1</v>
      </c>
      <c r="L57" s="15" t="s">
        <v>971</v>
      </c>
      <c r="M57" s="7" t="s">
        <v>978</v>
      </c>
      <c r="N57" s="7" t="s">
        <v>68</v>
      </c>
      <c r="O57" s="13">
        <v>149.5</v>
      </c>
    </row>
    <row r="58" ht="15.75" customHeight="1">
      <c r="A58" s="5" t="s">
        <v>1111</v>
      </c>
      <c r="B58" s="16" t="s">
        <v>983</v>
      </c>
      <c r="C58" s="5" t="s">
        <v>1038</v>
      </c>
      <c r="D58" s="5" t="s">
        <v>11</v>
      </c>
      <c r="E58" s="5">
        <v>4.0</v>
      </c>
      <c r="F58" s="5" t="s">
        <v>121</v>
      </c>
      <c r="G58" s="5" t="s">
        <v>970</v>
      </c>
      <c r="H58" s="5">
        <v>1295.0</v>
      </c>
      <c r="I58" s="5">
        <v>149.0</v>
      </c>
      <c r="J58" s="5">
        <v>40.6</v>
      </c>
      <c r="K58" s="5">
        <v>4.9</v>
      </c>
      <c r="L58" s="14" t="s">
        <v>971</v>
      </c>
      <c r="M58" s="5" t="s">
        <v>1112</v>
      </c>
      <c r="N58" s="5" t="s">
        <v>68</v>
      </c>
      <c r="O58" s="12">
        <v>149.5</v>
      </c>
    </row>
    <row r="59" ht="15.75" customHeight="1">
      <c r="A59" s="7" t="s">
        <v>1113</v>
      </c>
      <c r="B59" s="7" t="s">
        <v>968</v>
      </c>
      <c r="C59" s="7" t="s">
        <v>1114</v>
      </c>
      <c r="D59" s="7" t="s">
        <v>7</v>
      </c>
      <c r="E59" s="7">
        <v>8.0</v>
      </c>
      <c r="F59" s="7" t="s">
        <v>141</v>
      </c>
      <c r="G59" s="7" t="s">
        <v>970</v>
      </c>
      <c r="H59" s="7">
        <v>2107.0</v>
      </c>
      <c r="I59" s="7">
        <v>235.0</v>
      </c>
      <c r="J59" s="7">
        <v>1.9</v>
      </c>
      <c r="K59" s="7">
        <v>4.8</v>
      </c>
      <c r="L59" s="18" t="s">
        <v>1052</v>
      </c>
      <c r="M59" s="7" t="s">
        <v>1115</v>
      </c>
      <c r="N59" s="7" t="s">
        <v>1065</v>
      </c>
      <c r="O59" s="13">
        <v>89.7</v>
      </c>
    </row>
    <row r="60" ht="15.75" customHeight="1">
      <c r="A60" s="5" t="s">
        <v>1116</v>
      </c>
      <c r="B60" s="16" t="s">
        <v>983</v>
      </c>
      <c r="C60" s="5" t="s">
        <v>1038</v>
      </c>
      <c r="D60" s="5" t="s">
        <v>9</v>
      </c>
      <c r="E60" s="5">
        <v>13.0</v>
      </c>
      <c r="F60" s="5" t="s">
        <v>59</v>
      </c>
      <c r="G60" s="5" t="s">
        <v>970</v>
      </c>
      <c r="H60" s="5">
        <v>3613.0</v>
      </c>
      <c r="I60" s="5">
        <v>519.0</v>
      </c>
      <c r="J60" s="5">
        <v>26.2</v>
      </c>
      <c r="K60" s="5">
        <v>4.7</v>
      </c>
      <c r="L60" s="14" t="s">
        <v>971</v>
      </c>
      <c r="M60" s="5" t="s">
        <v>1117</v>
      </c>
      <c r="N60" s="5" t="s">
        <v>68</v>
      </c>
      <c r="O60" s="12">
        <v>149.5</v>
      </c>
    </row>
    <row r="61" ht="15.75" customHeight="1">
      <c r="A61" s="7" t="s">
        <v>1118</v>
      </c>
      <c r="B61" s="7" t="s">
        <v>968</v>
      </c>
      <c r="C61" s="7" t="s">
        <v>308</v>
      </c>
      <c r="D61" s="7" t="s">
        <v>17</v>
      </c>
      <c r="E61" s="7">
        <v>7.0</v>
      </c>
      <c r="F61" s="7" t="s">
        <v>59</v>
      </c>
      <c r="G61" s="7" t="s">
        <v>970</v>
      </c>
      <c r="H61" s="7">
        <v>923.0</v>
      </c>
      <c r="I61" s="7">
        <v>119.0</v>
      </c>
      <c r="J61" s="7">
        <v>7.7</v>
      </c>
      <c r="K61" s="7">
        <v>4.6</v>
      </c>
      <c r="L61" s="15" t="s">
        <v>971</v>
      </c>
      <c r="M61" s="7" t="s">
        <v>1119</v>
      </c>
      <c r="N61" s="7" t="s">
        <v>68</v>
      </c>
      <c r="O61" s="13">
        <v>179.4</v>
      </c>
    </row>
    <row r="62" ht="15.75" customHeight="1">
      <c r="A62" s="5" t="s">
        <v>1120</v>
      </c>
      <c r="B62" s="16" t="s">
        <v>983</v>
      </c>
      <c r="C62" s="5" t="s">
        <v>1121</v>
      </c>
      <c r="D62" s="5" t="s">
        <v>11</v>
      </c>
      <c r="E62" s="5">
        <v>6.0</v>
      </c>
      <c r="F62" s="5" t="s">
        <v>76</v>
      </c>
      <c r="G62" s="5" t="s">
        <v>970</v>
      </c>
      <c r="H62" s="5">
        <v>2913.0</v>
      </c>
      <c r="I62" s="5">
        <v>658.0</v>
      </c>
      <c r="J62" s="5">
        <v>31.7</v>
      </c>
      <c r="K62" s="5">
        <v>3.9</v>
      </c>
      <c r="L62" s="14" t="s">
        <v>971</v>
      </c>
      <c r="M62" s="5" t="s">
        <v>1122</v>
      </c>
      <c r="N62" s="5" t="s">
        <v>68</v>
      </c>
      <c r="O62" s="12">
        <v>209.3</v>
      </c>
    </row>
    <row r="63" ht="15.75" customHeight="1">
      <c r="A63" s="7" t="s">
        <v>1123</v>
      </c>
      <c r="B63" s="17" t="s">
        <v>983</v>
      </c>
      <c r="C63" s="7" t="s">
        <v>1124</v>
      </c>
      <c r="D63" s="7" t="s">
        <v>17</v>
      </c>
      <c r="E63" s="7">
        <v>10.0</v>
      </c>
      <c r="F63" s="7" t="s">
        <v>81</v>
      </c>
      <c r="G63" s="7" t="s">
        <v>970</v>
      </c>
      <c r="H63" s="7">
        <v>1911.0</v>
      </c>
      <c r="I63" s="7">
        <v>281.0</v>
      </c>
      <c r="J63" s="7">
        <v>17.5</v>
      </c>
      <c r="K63" s="7">
        <v>4.0</v>
      </c>
      <c r="L63" s="15" t="s">
        <v>971</v>
      </c>
      <c r="M63" s="7" t="s">
        <v>1087</v>
      </c>
      <c r="N63" s="7" t="s">
        <v>68</v>
      </c>
      <c r="O63" s="13">
        <v>179.4</v>
      </c>
    </row>
    <row r="64" ht="15.75" customHeight="1">
      <c r="A64" s="5" t="s">
        <v>1125</v>
      </c>
      <c r="B64" s="5" t="s">
        <v>968</v>
      </c>
      <c r="C64" s="5" t="s">
        <v>1030</v>
      </c>
      <c r="D64" s="5" t="s">
        <v>18</v>
      </c>
      <c r="E64" s="5">
        <v>5.0</v>
      </c>
      <c r="F64" s="5" t="s">
        <v>76</v>
      </c>
      <c r="G64" s="5" t="s">
        <v>970</v>
      </c>
      <c r="H64" s="5">
        <v>1019.0</v>
      </c>
      <c r="I64" s="5">
        <v>96.0</v>
      </c>
      <c r="J64" s="5">
        <v>33.3</v>
      </c>
      <c r="K64" s="5">
        <v>5.0</v>
      </c>
      <c r="L64" s="14" t="s">
        <v>971</v>
      </c>
      <c r="M64" s="5" t="s">
        <v>1002</v>
      </c>
      <c r="N64" s="5" t="s">
        <v>68</v>
      </c>
      <c r="O64" s="12">
        <v>269.1</v>
      </c>
    </row>
    <row r="65" ht="15.75" customHeight="1">
      <c r="A65" s="7" t="s">
        <v>1126</v>
      </c>
      <c r="B65" s="17" t="s">
        <v>983</v>
      </c>
      <c r="C65" s="7" t="s">
        <v>984</v>
      </c>
      <c r="D65" s="7" t="s">
        <v>18</v>
      </c>
      <c r="E65" s="7">
        <v>6.0</v>
      </c>
      <c r="F65" s="7" t="s">
        <v>141</v>
      </c>
      <c r="G65" s="7" t="s">
        <v>970</v>
      </c>
      <c r="H65" s="7">
        <v>2745.0</v>
      </c>
      <c r="I65" s="7">
        <v>294.0</v>
      </c>
      <c r="J65" s="7">
        <v>23.0</v>
      </c>
      <c r="K65" s="7">
        <v>3.9</v>
      </c>
      <c r="L65" s="15" t="s">
        <v>971</v>
      </c>
      <c r="M65" s="7" t="s">
        <v>1127</v>
      </c>
      <c r="N65" s="7" t="s">
        <v>68</v>
      </c>
      <c r="O65" s="13">
        <v>89.7</v>
      </c>
    </row>
    <row r="66" ht="15.75" customHeight="1">
      <c r="A66" s="5" t="s">
        <v>1128</v>
      </c>
      <c r="B66" s="5" t="s">
        <v>968</v>
      </c>
      <c r="C66" s="5" t="s">
        <v>1129</v>
      </c>
      <c r="D66" s="5" t="s">
        <v>17</v>
      </c>
      <c r="E66" s="5">
        <v>8.0</v>
      </c>
      <c r="F66" s="5" t="s">
        <v>93</v>
      </c>
      <c r="G66" s="5" t="s">
        <v>970</v>
      </c>
      <c r="H66" s="5">
        <v>1655.0</v>
      </c>
      <c r="I66" s="5">
        <v>119.0</v>
      </c>
      <c r="J66" s="5">
        <v>4.4</v>
      </c>
      <c r="K66" s="5">
        <v>4.6</v>
      </c>
      <c r="L66" s="14" t="s">
        <v>971</v>
      </c>
      <c r="M66" s="5" t="s">
        <v>1130</v>
      </c>
      <c r="N66" s="5" t="s">
        <v>68</v>
      </c>
      <c r="O66" s="12">
        <v>358.8</v>
      </c>
    </row>
    <row r="67" ht="15.75" customHeight="1">
      <c r="A67" s="7" t="s">
        <v>1131</v>
      </c>
      <c r="B67" s="17" t="s">
        <v>983</v>
      </c>
      <c r="C67" s="7" t="s">
        <v>1132</v>
      </c>
      <c r="D67" s="7" t="s">
        <v>7</v>
      </c>
      <c r="E67" s="7">
        <v>13.0</v>
      </c>
      <c r="F67" s="7" t="s">
        <v>76</v>
      </c>
      <c r="G67" s="7" t="s">
        <v>970</v>
      </c>
      <c r="H67" s="7">
        <v>511.0</v>
      </c>
      <c r="I67" s="7">
        <v>101.0</v>
      </c>
      <c r="J67" s="7">
        <v>7.5</v>
      </c>
      <c r="K67" s="7">
        <v>3.9</v>
      </c>
      <c r="L67" s="15" t="s">
        <v>971</v>
      </c>
      <c r="M67" s="7" t="s">
        <v>1127</v>
      </c>
      <c r="N67" s="7" t="s">
        <v>68</v>
      </c>
      <c r="O67" s="13">
        <v>89.7</v>
      </c>
    </row>
    <row r="68" ht="15.75" customHeight="1">
      <c r="A68" s="5" t="s">
        <v>1133</v>
      </c>
      <c r="B68" s="5" t="s">
        <v>968</v>
      </c>
      <c r="C68" s="5" t="s">
        <v>1043</v>
      </c>
      <c r="D68" s="5" t="s">
        <v>11</v>
      </c>
      <c r="E68" s="5">
        <v>2.0</v>
      </c>
      <c r="F68" s="5" t="s">
        <v>81</v>
      </c>
      <c r="G68" s="5" t="s">
        <v>970</v>
      </c>
      <c r="H68" s="5">
        <v>2488.0</v>
      </c>
      <c r="I68" s="5">
        <v>319.0</v>
      </c>
      <c r="J68" s="5">
        <v>22.3</v>
      </c>
      <c r="K68" s="5">
        <v>4.8</v>
      </c>
      <c r="L68" s="14" t="s">
        <v>971</v>
      </c>
      <c r="M68" s="5" t="s">
        <v>1134</v>
      </c>
      <c r="N68" s="5" t="s">
        <v>68</v>
      </c>
      <c r="O68" s="12">
        <v>89.7</v>
      </c>
    </row>
    <row r="69" ht="15.75" customHeight="1">
      <c r="A69" s="7" t="s">
        <v>1135</v>
      </c>
      <c r="B69" s="7" t="s">
        <v>968</v>
      </c>
      <c r="C69" s="7" t="s">
        <v>1015</v>
      </c>
      <c r="D69" s="7" t="s">
        <v>7</v>
      </c>
      <c r="E69" s="7">
        <v>14.0</v>
      </c>
      <c r="F69" s="7" t="s">
        <v>121</v>
      </c>
      <c r="G69" s="7" t="s">
        <v>970</v>
      </c>
      <c r="H69" s="7">
        <v>732.0</v>
      </c>
      <c r="I69" s="7">
        <v>106.0</v>
      </c>
      <c r="J69" s="7">
        <v>42.4</v>
      </c>
      <c r="K69" s="7">
        <v>4.8</v>
      </c>
      <c r="L69" s="15" t="s">
        <v>971</v>
      </c>
      <c r="M69" s="7" t="s">
        <v>999</v>
      </c>
      <c r="N69" s="7" t="s">
        <v>68</v>
      </c>
      <c r="O69" s="13">
        <v>29.9</v>
      </c>
    </row>
    <row r="70" ht="15.75" customHeight="1">
      <c r="A70" s="5" t="s">
        <v>1136</v>
      </c>
      <c r="B70" s="5" t="s">
        <v>968</v>
      </c>
      <c r="C70" s="5" t="s">
        <v>1098</v>
      </c>
      <c r="D70" s="5" t="s">
        <v>11</v>
      </c>
      <c r="E70" s="5">
        <v>15.0</v>
      </c>
      <c r="F70" s="5" t="s">
        <v>81</v>
      </c>
      <c r="G70" s="5" t="s">
        <v>970</v>
      </c>
      <c r="H70" s="5">
        <v>110.0</v>
      </c>
      <c r="I70" s="5">
        <v>13.0</v>
      </c>
      <c r="J70" s="5">
        <v>32.8</v>
      </c>
      <c r="K70" s="5">
        <v>4.9</v>
      </c>
      <c r="L70" s="14" t="s">
        <v>971</v>
      </c>
      <c r="M70" s="5" t="s">
        <v>981</v>
      </c>
      <c r="N70" s="5" t="s">
        <v>68</v>
      </c>
      <c r="O70" s="12">
        <v>149.5</v>
      </c>
    </row>
    <row r="71" ht="15.75" customHeight="1">
      <c r="A71" s="7" t="s">
        <v>1137</v>
      </c>
      <c r="B71" s="17" t="s">
        <v>983</v>
      </c>
      <c r="C71" s="7" t="s">
        <v>1121</v>
      </c>
      <c r="D71" s="7" t="s">
        <v>11</v>
      </c>
      <c r="E71" s="7">
        <v>6.0</v>
      </c>
      <c r="F71" s="7" t="s">
        <v>76</v>
      </c>
      <c r="G71" s="7" t="s">
        <v>970</v>
      </c>
      <c r="H71" s="7">
        <v>1466.0</v>
      </c>
      <c r="I71" s="7">
        <v>298.0</v>
      </c>
      <c r="J71" s="7">
        <v>41.1</v>
      </c>
      <c r="K71" s="7">
        <v>4.7</v>
      </c>
      <c r="L71" s="15" t="s">
        <v>971</v>
      </c>
      <c r="M71" s="7" t="s">
        <v>1138</v>
      </c>
      <c r="N71" s="7" t="s">
        <v>68</v>
      </c>
      <c r="O71" s="13">
        <v>299.0</v>
      </c>
    </row>
    <row r="72" ht="15.75" customHeight="1">
      <c r="A72" s="5" t="s">
        <v>1139</v>
      </c>
      <c r="B72" s="5" t="s">
        <v>968</v>
      </c>
      <c r="C72" s="5" t="s">
        <v>1098</v>
      </c>
      <c r="D72" s="5" t="s">
        <v>17</v>
      </c>
      <c r="E72" s="5">
        <v>9.0</v>
      </c>
      <c r="F72" s="5" t="s">
        <v>93</v>
      </c>
      <c r="G72" s="5" t="s">
        <v>970</v>
      </c>
      <c r="H72" s="5">
        <v>2308.0</v>
      </c>
      <c r="I72" s="5">
        <v>333.0</v>
      </c>
      <c r="J72" s="5">
        <v>16.6</v>
      </c>
      <c r="K72" s="5">
        <v>4.7</v>
      </c>
      <c r="L72" s="14" t="s">
        <v>971</v>
      </c>
      <c r="M72" s="5" t="s">
        <v>1041</v>
      </c>
      <c r="N72" s="5" t="s">
        <v>68</v>
      </c>
      <c r="O72" s="12">
        <v>119.6</v>
      </c>
    </row>
    <row r="73" ht="15.75" customHeight="1">
      <c r="A73" s="7" t="s">
        <v>1140</v>
      </c>
      <c r="B73" s="7" t="s">
        <v>968</v>
      </c>
      <c r="C73" s="7" t="s">
        <v>1015</v>
      </c>
      <c r="D73" s="7" t="s">
        <v>13</v>
      </c>
      <c r="E73" s="7">
        <v>5.0</v>
      </c>
      <c r="F73" s="7" t="s">
        <v>81</v>
      </c>
      <c r="G73" s="7" t="s">
        <v>970</v>
      </c>
      <c r="H73" s="7">
        <v>2180.0</v>
      </c>
      <c r="I73" s="7">
        <v>276.0</v>
      </c>
      <c r="J73" s="7">
        <v>33.0</v>
      </c>
      <c r="K73" s="7">
        <v>4.1</v>
      </c>
      <c r="L73" s="15" t="s">
        <v>971</v>
      </c>
      <c r="M73" s="7" t="s">
        <v>978</v>
      </c>
      <c r="N73" s="7" t="s">
        <v>68</v>
      </c>
      <c r="O73" s="13">
        <v>149.5</v>
      </c>
    </row>
    <row r="74" ht="15.75" customHeight="1">
      <c r="A74" s="5" t="s">
        <v>1141</v>
      </c>
      <c r="B74" s="16" t="s">
        <v>983</v>
      </c>
      <c r="C74" s="5" t="s">
        <v>1132</v>
      </c>
      <c r="D74" s="5" t="s">
        <v>13</v>
      </c>
      <c r="E74" s="5">
        <v>7.0</v>
      </c>
      <c r="F74" s="5" t="s">
        <v>59</v>
      </c>
      <c r="G74" s="5" t="s">
        <v>970</v>
      </c>
      <c r="H74" s="5">
        <v>3474.0</v>
      </c>
      <c r="I74" s="5">
        <v>722.0</v>
      </c>
      <c r="J74" s="5">
        <v>17.6</v>
      </c>
      <c r="K74" s="5">
        <v>4.6</v>
      </c>
      <c r="L74" s="14" t="s">
        <v>971</v>
      </c>
      <c r="M74" s="5" t="s">
        <v>1142</v>
      </c>
      <c r="N74" s="5" t="s">
        <v>68</v>
      </c>
      <c r="O74" s="12">
        <v>59.8</v>
      </c>
    </row>
    <row r="75" ht="15.75" customHeight="1">
      <c r="A75" s="7" t="s">
        <v>1143</v>
      </c>
      <c r="B75" s="7" t="s">
        <v>968</v>
      </c>
      <c r="C75" s="7" t="s">
        <v>977</v>
      </c>
      <c r="D75" s="7" t="s">
        <v>17</v>
      </c>
      <c r="E75" s="7">
        <v>4.0</v>
      </c>
      <c r="F75" s="7" t="s">
        <v>162</v>
      </c>
      <c r="G75" s="7" t="s">
        <v>970</v>
      </c>
      <c r="H75" s="7">
        <v>654.0</v>
      </c>
      <c r="I75" s="7">
        <v>66.0</v>
      </c>
      <c r="J75" s="7">
        <v>43.8</v>
      </c>
      <c r="K75" s="7">
        <v>5.0</v>
      </c>
      <c r="L75" s="15" t="s">
        <v>971</v>
      </c>
      <c r="M75" s="7" t="s">
        <v>1144</v>
      </c>
      <c r="N75" s="7" t="s">
        <v>68</v>
      </c>
      <c r="O75" s="13">
        <v>89.7</v>
      </c>
    </row>
    <row r="76" ht="15.75" customHeight="1">
      <c r="A76" s="5" t="s">
        <v>1145</v>
      </c>
      <c r="B76" s="5" t="s">
        <v>968</v>
      </c>
      <c r="C76" s="5" t="s">
        <v>1146</v>
      </c>
      <c r="D76" s="5" t="s">
        <v>15</v>
      </c>
      <c r="E76" s="5">
        <v>13.0</v>
      </c>
      <c r="F76" s="5" t="s">
        <v>76</v>
      </c>
      <c r="G76" s="5" t="s">
        <v>970</v>
      </c>
      <c r="H76" s="5">
        <v>2380.0</v>
      </c>
      <c r="I76" s="5">
        <v>232.0</v>
      </c>
      <c r="J76" s="5">
        <v>26.9</v>
      </c>
      <c r="K76" s="5">
        <v>4.3</v>
      </c>
      <c r="L76" s="14" t="s">
        <v>971</v>
      </c>
      <c r="M76" s="5" t="s">
        <v>1072</v>
      </c>
      <c r="N76" s="5" t="s">
        <v>68</v>
      </c>
      <c r="O76" s="12">
        <v>239.2</v>
      </c>
    </row>
    <row r="77" ht="15.75" customHeight="1">
      <c r="A77" s="7" t="s">
        <v>1147</v>
      </c>
      <c r="B77" s="7" t="s">
        <v>968</v>
      </c>
      <c r="C77" s="7" t="s">
        <v>1098</v>
      </c>
      <c r="D77" s="7" t="s">
        <v>15</v>
      </c>
      <c r="E77" s="7">
        <v>11.0</v>
      </c>
      <c r="F77" s="7" t="s">
        <v>76</v>
      </c>
      <c r="G77" s="7" t="s">
        <v>970</v>
      </c>
      <c r="H77" s="7">
        <v>2280.0</v>
      </c>
      <c r="I77" s="7">
        <v>172.0</v>
      </c>
      <c r="J77" s="7">
        <v>25.7</v>
      </c>
      <c r="K77" s="7">
        <v>4.0</v>
      </c>
      <c r="L77" s="15" t="s">
        <v>971</v>
      </c>
      <c r="M77" s="7" t="s">
        <v>1148</v>
      </c>
      <c r="N77" s="7" t="s">
        <v>68</v>
      </c>
      <c r="O77" s="13">
        <v>119.6</v>
      </c>
    </row>
    <row r="78" ht="15.75" customHeight="1">
      <c r="A78" s="5" t="s">
        <v>1149</v>
      </c>
      <c r="B78" s="5" t="s">
        <v>968</v>
      </c>
      <c r="C78" s="5" t="s">
        <v>215</v>
      </c>
      <c r="D78" s="5" t="s">
        <v>13</v>
      </c>
      <c r="E78" s="5">
        <v>5.0</v>
      </c>
      <c r="F78" s="5" t="s">
        <v>59</v>
      </c>
      <c r="G78" s="5" t="s">
        <v>970</v>
      </c>
      <c r="H78" s="5">
        <v>64.0</v>
      </c>
      <c r="I78" s="5">
        <v>8.0</v>
      </c>
      <c r="J78" s="5">
        <v>13.8</v>
      </c>
      <c r="K78" s="5">
        <v>4.1</v>
      </c>
      <c r="L78" s="14" t="s">
        <v>971</v>
      </c>
      <c r="M78" s="5" t="s">
        <v>1117</v>
      </c>
      <c r="N78" s="5" t="s">
        <v>68</v>
      </c>
      <c r="O78" s="12">
        <v>149.5</v>
      </c>
    </row>
    <row r="79" ht="15.75" customHeight="1">
      <c r="A79" s="7" t="s">
        <v>1150</v>
      </c>
      <c r="B79" s="17" t="s">
        <v>983</v>
      </c>
      <c r="C79" s="7" t="s">
        <v>1025</v>
      </c>
      <c r="D79" s="7" t="s">
        <v>18</v>
      </c>
      <c r="E79" s="7">
        <v>1.0</v>
      </c>
      <c r="F79" s="7" t="s">
        <v>76</v>
      </c>
      <c r="G79" s="7" t="s">
        <v>970</v>
      </c>
      <c r="H79" s="7">
        <v>1134.0</v>
      </c>
      <c r="I79" s="7">
        <v>163.0</v>
      </c>
      <c r="J79" s="7">
        <v>37.9</v>
      </c>
      <c r="K79" s="7">
        <v>4.7</v>
      </c>
      <c r="L79" s="15" t="s">
        <v>971</v>
      </c>
      <c r="M79" s="7" t="s">
        <v>1101</v>
      </c>
      <c r="N79" s="7" t="s">
        <v>68</v>
      </c>
      <c r="O79" s="13">
        <v>179.4</v>
      </c>
    </row>
    <row r="80" ht="15.75" customHeight="1">
      <c r="A80" s="5" t="s">
        <v>1151</v>
      </c>
      <c r="B80" s="16" t="s">
        <v>983</v>
      </c>
      <c r="C80" s="5" t="s">
        <v>1152</v>
      </c>
      <c r="D80" s="5" t="s">
        <v>15</v>
      </c>
      <c r="E80" s="5">
        <v>12.0</v>
      </c>
      <c r="F80" s="5" t="s">
        <v>98</v>
      </c>
      <c r="G80" s="5" t="s">
        <v>970</v>
      </c>
      <c r="H80" s="5">
        <v>3822.0</v>
      </c>
      <c r="I80" s="5">
        <v>465.0</v>
      </c>
      <c r="J80" s="5">
        <v>11.6</v>
      </c>
      <c r="K80" s="5">
        <v>3.8</v>
      </c>
      <c r="L80" s="14" t="s">
        <v>971</v>
      </c>
      <c r="M80" s="5" t="s">
        <v>1153</v>
      </c>
      <c r="N80" s="5" t="s">
        <v>68</v>
      </c>
      <c r="O80" s="12">
        <v>59.8</v>
      </c>
    </row>
    <row r="81" ht="15.75" customHeight="1">
      <c r="A81" s="7" t="s">
        <v>1154</v>
      </c>
      <c r="B81" s="7" t="s">
        <v>968</v>
      </c>
      <c r="C81" s="7" t="s">
        <v>1094</v>
      </c>
      <c r="D81" s="7" t="s">
        <v>16</v>
      </c>
      <c r="E81" s="7">
        <v>3.0</v>
      </c>
      <c r="F81" s="7" t="s">
        <v>76</v>
      </c>
      <c r="G81" s="7" t="s">
        <v>970</v>
      </c>
      <c r="H81" s="7">
        <v>808.0</v>
      </c>
      <c r="I81" s="7">
        <v>97.0</v>
      </c>
      <c r="J81" s="7">
        <v>40.1</v>
      </c>
      <c r="K81" s="7">
        <v>4.2</v>
      </c>
      <c r="L81" s="15" t="s">
        <v>971</v>
      </c>
      <c r="M81" s="7" t="s">
        <v>1155</v>
      </c>
      <c r="N81" s="7" t="s">
        <v>68</v>
      </c>
      <c r="O81" s="13">
        <v>299.0</v>
      </c>
    </row>
    <row r="82" ht="15.75" customHeight="1">
      <c r="A82" s="5" t="s">
        <v>1156</v>
      </c>
      <c r="B82" s="16" t="s">
        <v>983</v>
      </c>
      <c r="C82" s="5" t="s">
        <v>987</v>
      </c>
      <c r="D82" s="5" t="s">
        <v>9</v>
      </c>
      <c r="E82" s="5">
        <v>3.0</v>
      </c>
      <c r="F82" s="5" t="s">
        <v>98</v>
      </c>
      <c r="G82" s="5" t="s">
        <v>970</v>
      </c>
      <c r="H82" s="5">
        <v>1898.0</v>
      </c>
      <c r="I82" s="5">
        <v>237.0</v>
      </c>
      <c r="J82" s="5">
        <v>19.5</v>
      </c>
      <c r="K82" s="5">
        <v>4.6</v>
      </c>
      <c r="L82" s="14" t="s">
        <v>971</v>
      </c>
      <c r="M82" s="5" t="s">
        <v>1157</v>
      </c>
      <c r="N82" s="5" t="s">
        <v>68</v>
      </c>
      <c r="O82" s="12">
        <v>149.5</v>
      </c>
    </row>
    <row r="83" ht="15.75" customHeight="1">
      <c r="A83" s="7" t="s">
        <v>1158</v>
      </c>
      <c r="B83" s="7" t="s">
        <v>968</v>
      </c>
      <c r="C83" s="7" t="s">
        <v>308</v>
      </c>
      <c r="D83" s="7" t="s">
        <v>18</v>
      </c>
      <c r="E83" s="7">
        <v>8.0</v>
      </c>
      <c r="F83" s="7" t="s">
        <v>81</v>
      </c>
      <c r="G83" s="7" t="s">
        <v>970</v>
      </c>
      <c r="H83" s="7">
        <v>1929.0</v>
      </c>
      <c r="I83" s="7">
        <v>246.0</v>
      </c>
      <c r="J83" s="7">
        <v>31.7</v>
      </c>
      <c r="K83" s="7">
        <v>4.4</v>
      </c>
      <c r="L83" s="15" t="s">
        <v>971</v>
      </c>
      <c r="M83" s="7" t="s">
        <v>1159</v>
      </c>
      <c r="N83" s="7" t="s">
        <v>68</v>
      </c>
      <c r="O83" s="13">
        <v>59.8</v>
      </c>
    </row>
    <row r="84" ht="15.75" customHeight="1">
      <c r="A84" s="5" t="s">
        <v>1160</v>
      </c>
      <c r="B84" s="5" t="s">
        <v>968</v>
      </c>
      <c r="C84" s="5" t="s">
        <v>1022</v>
      </c>
      <c r="D84" s="5" t="s">
        <v>9</v>
      </c>
      <c r="E84" s="5">
        <v>12.0</v>
      </c>
      <c r="F84" s="5" t="s">
        <v>121</v>
      </c>
      <c r="G84" s="5" t="s">
        <v>970</v>
      </c>
      <c r="H84" s="5">
        <v>745.0</v>
      </c>
      <c r="I84" s="5">
        <v>94.0</v>
      </c>
      <c r="J84" s="5">
        <v>35.2</v>
      </c>
      <c r="K84" s="5">
        <v>4.8</v>
      </c>
      <c r="L84" s="14" t="s">
        <v>971</v>
      </c>
      <c r="M84" s="5" t="s">
        <v>1161</v>
      </c>
      <c r="N84" s="5" t="s">
        <v>68</v>
      </c>
      <c r="O84" s="12">
        <v>179.4</v>
      </c>
    </row>
    <row r="85" ht="15.75" customHeight="1">
      <c r="A85" s="7" t="s">
        <v>1162</v>
      </c>
      <c r="B85" s="7" t="s">
        <v>968</v>
      </c>
      <c r="C85" s="7" t="s">
        <v>1098</v>
      </c>
      <c r="D85" s="7" t="s">
        <v>11</v>
      </c>
      <c r="E85" s="7">
        <v>11.0</v>
      </c>
      <c r="F85" s="7" t="s">
        <v>59</v>
      </c>
      <c r="G85" s="7" t="s">
        <v>970</v>
      </c>
      <c r="H85" s="7">
        <v>1923.0</v>
      </c>
      <c r="I85" s="7">
        <v>197.0</v>
      </c>
      <c r="J85" s="7">
        <v>26.3</v>
      </c>
      <c r="K85" s="7">
        <v>4.0</v>
      </c>
      <c r="L85" s="15" t="s">
        <v>971</v>
      </c>
      <c r="M85" s="7" t="s">
        <v>1103</v>
      </c>
      <c r="N85" s="7" t="s">
        <v>68</v>
      </c>
      <c r="O85" s="13">
        <v>59.8</v>
      </c>
    </row>
    <row r="86" ht="15.75" customHeight="1">
      <c r="A86" s="5" t="s">
        <v>1163</v>
      </c>
      <c r="B86" s="16" t="s">
        <v>983</v>
      </c>
      <c r="C86" s="5" t="s">
        <v>1164</v>
      </c>
      <c r="D86" s="5" t="s">
        <v>7</v>
      </c>
      <c r="E86" s="5">
        <v>1.0</v>
      </c>
      <c r="F86" s="5" t="s">
        <v>93</v>
      </c>
      <c r="G86" s="5" t="s">
        <v>970</v>
      </c>
      <c r="H86" s="5">
        <v>4189.0</v>
      </c>
      <c r="I86" s="5">
        <v>821.0</v>
      </c>
      <c r="J86" s="5">
        <v>20.4</v>
      </c>
      <c r="K86" s="5">
        <v>4.1</v>
      </c>
      <c r="L86" s="14" t="s">
        <v>971</v>
      </c>
      <c r="M86" s="5" t="s">
        <v>1087</v>
      </c>
      <c r="N86" s="5" t="s">
        <v>68</v>
      </c>
      <c r="O86" s="12">
        <v>179.4</v>
      </c>
    </row>
    <row r="87" ht="15.75" customHeight="1">
      <c r="A87" s="7" t="s">
        <v>1165</v>
      </c>
      <c r="B87" s="17" t="s">
        <v>983</v>
      </c>
      <c r="C87" s="7" t="s">
        <v>1166</v>
      </c>
      <c r="D87" s="7" t="s">
        <v>13</v>
      </c>
      <c r="E87" s="7">
        <v>11.0</v>
      </c>
      <c r="F87" s="7" t="s">
        <v>162</v>
      </c>
      <c r="G87" s="7" t="s">
        <v>970</v>
      </c>
      <c r="H87" s="7">
        <v>3201.0</v>
      </c>
      <c r="I87" s="7">
        <v>737.0</v>
      </c>
      <c r="J87" s="7">
        <v>19.4</v>
      </c>
      <c r="K87" s="7">
        <v>4.3</v>
      </c>
      <c r="L87" s="15" t="s">
        <v>971</v>
      </c>
      <c r="M87" s="7" t="s">
        <v>1112</v>
      </c>
      <c r="N87" s="7" t="s">
        <v>68</v>
      </c>
      <c r="O87" s="13">
        <v>149.5</v>
      </c>
    </row>
    <row r="88" ht="15.75" customHeight="1">
      <c r="A88" s="5" t="s">
        <v>1167</v>
      </c>
      <c r="B88" s="5" t="s">
        <v>968</v>
      </c>
      <c r="C88" s="5" t="s">
        <v>977</v>
      </c>
      <c r="D88" s="5" t="s">
        <v>7</v>
      </c>
      <c r="E88" s="5">
        <v>10.0</v>
      </c>
      <c r="F88" s="5" t="s">
        <v>59</v>
      </c>
      <c r="G88" s="5" t="s">
        <v>970</v>
      </c>
      <c r="H88" s="5">
        <v>205.0</v>
      </c>
      <c r="I88" s="5">
        <v>24.0</v>
      </c>
      <c r="J88" s="5">
        <v>34.6</v>
      </c>
      <c r="K88" s="5">
        <v>4.6</v>
      </c>
      <c r="L88" s="14" t="s">
        <v>971</v>
      </c>
      <c r="M88" s="5" t="s">
        <v>1096</v>
      </c>
      <c r="N88" s="5" t="s">
        <v>68</v>
      </c>
      <c r="O88" s="12">
        <v>59.8</v>
      </c>
    </row>
    <row r="89" ht="15.75" customHeight="1">
      <c r="A89" s="7" t="s">
        <v>1168</v>
      </c>
      <c r="B89" s="7" t="s">
        <v>968</v>
      </c>
      <c r="C89" s="7" t="s">
        <v>977</v>
      </c>
      <c r="D89" s="7" t="s">
        <v>17</v>
      </c>
      <c r="E89" s="7">
        <v>1.0</v>
      </c>
      <c r="F89" s="7" t="s">
        <v>93</v>
      </c>
      <c r="G89" s="7" t="s">
        <v>970</v>
      </c>
      <c r="H89" s="7">
        <v>272.0</v>
      </c>
      <c r="I89" s="7">
        <v>24.0</v>
      </c>
      <c r="J89" s="7">
        <v>18.6</v>
      </c>
      <c r="K89" s="7">
        <v>4.9</v>
      </c>
      <c r="L89" s="15" t="s">
        <v>971</v>
      </c>
      <c r="M89" s="7" t="s">
        <v>993</v>
      </c>
      <c r="N89" s="7" t="s">
        <v>68</v>
      </c>
      <c r="O89" s="13">
        <v>239.2</v>
      </c>
    </row>
    <row r="90" ht="15.75" customHeight="1">
      <c r="A90" s="5" t="s">
        <v>1169</v>
      </c>
      <c r="B90" s="16" t="s">
        <v>983</v>
      </c>
      <c r="C90" s="5" t="s">
        <v>1018</v>
      </c>
      <c r="D90" s="5" t="s">
        <v>13</v>
      </c>
      <c r="E90" s="5">
        <v>5.0</v>
      </c>
      <c r="F90" s="5" t="s">
        <v>141</v>
      </c>
      <c r="G90" s="5" t="s">
        <v>970</v>
      </c>
      <c r="H90" s="5">
        <v>3398.0</v>
      </c>
      <c r="I90" s="5">
        <v>846.0</v>
      </c>
      <c r="J90" s="5">
        <v>7.1</v>
      </c>
      <c r="K90" s="5">
        <v>4.6</v>
      </c>
      <c r="L90" s="14" t="s">
        <v>971</v>
      </c>
      <c r="M90" s="5" t="s">
        <v>1170</v>
      </c>
      <c r="N90" s="5" t="s">
        <v>68</v>
      </c>
      <c r="O90" s="12">
        <v>239.2</v>
      </c>
    </row>
    <row r="91" ht="15.75" customHeight="1">
      <c r="A91" s="7" t="s">
        <v>1171</v>
      </c>
      <c r="B91" s="7" t="s">
        <v>968</v>
      </c>
      <c r="C91" s="7" t="s">
        <v>1098</v>
      </c>
      <c r="D91" s="7" t="s">
        <v>11</v>
      </c>
      <c r="E91" s="7">
        <v>4.0</v>
      </c>
      <c r="F91" s="7" t="s">
        <v>93</v>
      </c>
      <c r="G91" s="7" t="s">
        <v>970</v>
      </c>
      <c r="H91" s="7">
        <v>702.0</v>
      </c>
      <c r="I91" s="7">
        <v>62.0</v>
      </c>
      <c r="J91" s="7">
        <v>8.0</v>
      </c>
      <c r="K91" s="7">
        <v>4.9</v>
      </c>
      <c r="L91" s="15" t="s">
        <v>971</v>
      </c>
      <c r="M91" s="7" t="s">
        <v>1172</v>
      </c>
      <c r="N91" s="7" t="s">
        <v>68</v>
      </c>
      <c r="O91" s="13">
        <v>239.2</v>
      </c>
    </row>
    <row r="92" ht="15.75" customHeight="1">
      <c r="A92" s="5" t="s">
        <v>1173</v>
      </c>
      <c r="B92" s="16" t="s">
        <v>983</v>
      </c>
      <c r="C92" s="5" t="s">
        <v>1001</v>
      </c>
      <c r="D92" s="5" t="s">
        <v>11</v>
      </c>
      <c r="E92" s="5">
        <v>4.0</v>
      </c>
      <c r="F92" s="5" t="s">
        <v>98</v>
      </c>
      <c r="G92" s="5" t="s">
        <v>970</v>
      </c>
      <c r="H92" s="5">
        <v>3296.0</v>
      </c>
      <c r="I92" s="5">
        <v>347.0</v>
      </c>
      <c r="J92" s="5">
        <v>3.6</v>
      </c>
      <c r="K92" s="5">
        <v>4.4</v>
      </c>
      <c r="L92" s="14" t="s">
        <v>971</v>
      </c>
      <c r="M92" s="5" t="s">
        <v>1020</v>
      </c>
      <c r="N92" s="5" t="s">
        <v>68</v>
      </c>
      <c r="O92" s="12">
        <v>119.6</v>
      </c>
    </row>
    <row r="93" ht="15.75" customHeight="1">
      <c r="A93" s="7" t="s">
        <v>1174</v>
      </c>
      <c r="B93" s="7" t="s">
        <v>968</v>
      </c>
      <c r="C93" s="7" t="s">
        <v>977</v>
      </c>
      <c r="D93" s="7" t="s">
        <v>18</v>
      </c>
      <c r="E93" s="7">
        <v>12.0</v>
      </c>
      <c r="F93" s="7" t="s">
        <v>81</v>
      </c>
      <c r="G93" s="7" t="s">
        <v>970</v>
      </c>
      <c r="H93" s="7">
        <v>944.0</v>
      </c>
      <c r="I93" s="7">
        <v>53.0</v>
      </c>
      <c r="J93" s="7">
        <v>11.9</v>
      </c>
      <c r="K93" s="7">
        <v>4.3</v>
      </c>
      <c r="L93" s="15" t="s">
        <v>971</v>
      </c>
      <c r="M93" s="7" t="s">
        <v>1044</v>
      </c>
      <c r="N93" s="7" t="s">
        <v>68</v>
      </c>
      <c r="O93" s="13">
        <v>179.4</v>
      </c>
    </row>
    <row r="94" ht="15.75" customHeight="1">
      <c r="A94" s="5" t="s">
        <v>1175</v>
      </c>
      <c r="B94" s="5" t="s">
        <v>968</v>
      </c>
      <c r="C94" s="5" t="s">
        <v>1176</v>
      </c>
      <c r="D94" s="5" t="s">
        <v>13</v>
      </c>
      <c r="E94" s="5">
        <v>8.0</v>
      </c>
      <c r="F94" s="5" t="s">
        <v>76</v>
      </c>
      <c r="G94" s="5" t="s">
        <v>970</v>
      </c>
      <c r="H94" s="5">
        <v>1436.0</v>
      </c>
      <c r="I94" s="5">
        <v>119.0</v>
      </c>
      <c r="J94" s="5">
        <v>22.4</v>
      </c>
      <c r="K94" s="5">
        <v>4.0</v>
      </c>
      <c r="L94" s="14" t="s">
        <v>971</v>
      </c>
      <c r="M94" s="5" t="s">
        <v>1177</v>
      </c>
      <c r="N94" s="5" t="s">
        <v>68</v>
      </c>
      <c r="O94" s="12">
        <v>328.9</v>
      </c>
    </row>
    <row r="95" ht="15.75" customHeight="1">
      <c r="A95" s="7" t="s">
        <v>1178</v>
      </c>
      <c r="B95" s="7" t="s">
        <v>968</v>
      </c>
      <c r="C95" s="7" t="s">
        <v>1030</v>
      </c>
      <c r="D95" s="7" t="s">
        <v>18</v>
      </c>
      <c r="E95" s="7">
        <v>15.0</v>
      </c>
      <c r="F95" s="7" t="s">
        <v>141</v>
      </c>
      <c r="G95" s="7" t="s">
        <v>970</v>
      </c>
      <c r="H95" s="7">
        <v>724.0</v>
      </c>
      <c r="I95" s="7">
        <v>101.0</v>
      </c>
      <c r="J95" s="7">
        <v>1.6</v>
      </c>
      <c r="K95" s="7">
        <v>4.4</v>
      </c>
      <c r="L95" s="15" t="s">
        <v>971</v>
      </c>
      <c r="M95" s="7" t="s">
        <v>1179</v>
      </c>
      <c r="N95" s="7" t="s">
        <v>68</v>
      </c>
      <c r="O95" s="13">
        <v>149.5</v>
      </c>
    </row>
    <row r="96" ht="15.75" customHeight="1">
      <c r="A96" s="5" t="s">
        <v>1180</v>
      </c>
      <c r="B96" s="5" t="s">
        <v>968</v>
      </c>
      <c r="C96" s="5" t="s">
        <v>1030</v>
      </c>
      <c r="D96" s="5" t="s">
        <v>15</v>
      </c>
      <c r="E96" s="5">
        <v>3.0</v>
      </c>
      <c r="F96" s="5" t="s">
        <v>81</v>
      </c>
      <c r="G96" s="5" t="s">
        <v>970</v>
      </c>
      <c r="H96" s="5">
        <v>100.0</v>
      </c>
      <c r="I96" s="5">
        <v>12.0</v>
      </c>
      <c r="J96" s="5">
        <v>43.4</v>
      </c>
      <c r="K96" s="5">
        <v>4.9</v>
      </c>
      <c r="L96" s="14" t="s">
        <v>971</v>
      </c>
      <c r="M96" s="5" t="s">
        <v>1161</v>
      </c>
      <c r="N96" s="5" t="s">
        <v>68</v>
      </c>
      <c r="O96" s="12">
        <v>179.4</v>
      </c>
    </row>
    <row r="97" ht="15.75" customHeight="1">
      <c r="A97" s="7" t="s">
        <v>1181</v>
      </c>
      <c r="B97" s="7" t="s">
        <v>968</v>
      </c>
      <c r="C97" s="7" t="s">
        <v>995</v>
      </c>
      <c r="D97" s="7" t="s">
        <v>16</v>
      </c>
      <c r="E97" s="7">
        <v>3.0</v>
      </c>
      <c r="F97" s="7" t="s">
        <v>162</v>
      </c>
      <c r="G97" s="7" t="s">
        <v>970</v>
      </c>
      <c r="H97" s="7">
        <v>366.0</v>
      </c>
      <c r="I97" s="7">
        <v>31.0</v>
      </c>
      <c r="J97" s="7">
        <v>21.1</v>
      </c>
      <c r="K97" s="7">
        <v>4.6</v>
      </c>
      <c r="L97" s="15" t="s">
        <v>971</v>
      </c>
      <c r="M97" s="7" t="s">
        <v>1182</v>
      </c>
      <c r="N97" s="7" t="s">
        <v>68</v>
      </c>
      <c r="O97" s="13">
        <v>149.5</v>
      </c>
    </row>
    <row r="98" ht="15.75" customHeight="1">
      <c r="A98" s="5" t="s">
        <v>1183</v>
      </c>
      <c r="B98" s="5" t="s">
        <v>968</v>
      </c>
      <c r="C98" s="5" t="s">
        <v>1030</v>
      </c>
      <c r="D98" s="5" t="s">
        <v>18</v>
      </c>
      <c r="E98" s="5">
        <v>14.0</v>
      </c>
      <c r="F98" s="5" t="s">
        <v>141</v>
      </c>
      <c r="G98" s="5" t="s">
        <v>970</v>
      </c>
      <c r="H98" s="5">
        <v>1516.0</v>
      </c>
      <c r="I98" s="5">
        <v>122.0</v>
      </c>
      <c r="J98" s="5">
        <v>20.3</v>
      </c>
      <c r="K98" s="5">
        <v>5.0</v>
      </c>
      <c r="L98" s="14" t="s">
        <v>971</v>
      </c>
      <c r="M98" s="5" t="s">
        <v>1184</v>
      </c>
      <c r="N98" s="5" t="s">
        <v>68</v>
      </c>
      <c r="O98" s="12">
        <v>149.5</v>
      </c>
    </row>
    <row r="99" ht="15.75" customHeight="1">
      <c r="A99" s="7" t="s">
        <v>1185</v>
      </c>
      <c r="B99" s="7" t="s">
        <v>968</v>
      </c>
      <c r="C99" s="7" t="s">
        <v>977</v>
      </c>
      <c r="D99" s="7" t="s">
        <v>7</v>
      </c>
      <c r="E99" s="7">
        <v>5.0</v>
      </c>
      <c r="F99" s="7" t="s">
        <v>81</v>
      </c>
      <c r="G99" s="7" t="s">
        <v>970</v>
      </c>
      <c r="H99" s="7">
        <v>1104.0</v>
      </c>
      <c r="I99" s="7">
        <v>129.0</v>
      </c>
      <c r="J99" s="7">
        <v>37.1</v>
      </c>
      <c r="K99" s="7">
        <v>4.6</v>
      </c>
      <c r="L99" s="15" t="s">
        <v>971</v>
      </c>
      <c r="M99" s="7" t="s">
        <v>1031</v>
      </c>
      <c r="N99" s="7" t="s">
        <v>68</v>
      </c>
      <c r="O99" s="13">
        <v>119.6</v>
      </c>
    </row>
    <row r="100" ht="15.75" customHeight="1">
      <c r="A100" s="5" t="s">
        <v>1186</v>
      </c>
      <c r="B100" s="5" t="s">
        <v>968</v>
      </c>
      <c r="C100" s="5" t="s">
        <v>1094</v>
      </c>
      <c r="D100" s="5" t="s">
        <v>16</v>
      </c>
      <c r="E100" s="5">
        <v>13.0</v>
      </c>
      <c r="F100" s="5" t="s">
        <v>93</v>
      </c>
      <c r="G100" s="5" t="s">
        <v>970</v>
      </c>
      <c r="H100" s="5">
        <v>867.0</v>
      </c>
      <c r="I100" s="5">
        <v>57.0</v>
      </c>
      <c r="J100" s="5">
        <v>8.8</v>
      </c>
      <c r="K100" s="5">
        <v>4.9</v>
      </c>
      <c r="L100" s="14" t="s">
        <v>971</v>
      </c>
      <c r="M100" s="5" t="s">
        <v>1182</v>
      </c>
      <c r="N100" s="5" t="s">
        <v>68</v>
      </c>
      <c r="O100" s="12">
        <v>149.5</v>
      </c>
    </row>
    <row r="101" ht="15.75" customHeight="1">
      <c r="A101" s="7" t="s">
        <v>1187</v>
      </c>
      <c r="B101" s="7" t="s">
        <v>968</v>
      </c>
      <c r="C101" s="7" t="s">
        <v>1188</v>
      </c>
      <c r="D101" s="7" t="s">
        <v>9</v>
      </c>
      <c r="E101" s="7">
        <v>7.0</v>
      </c>
      <c r="F101" s="7" t="s">
        <v>162</v>
      </c>
      <c r="G101" s="7" t="s">
        <v>970</v>
      </c>
      <c r="H101" s="7">
        <v>751.0</v>
      </c>
      <c r="I101" s="7">
        <v>41.0</v>
      </c>
      <c r="J101" s="7">
        <v>3.2</v>
      </c>
      <c r="K101" s="7">
        <v>4.5</v>
      </c>
      <c r="L101" s="15" t="s">
        <v>971</v>
      </c>
      <c r="M101" s="7" t="s">
        <v>1189</v>
      </c>
      <c r="N101" s="7" t="s">
        <v>68</v>
      </c>
      <c r="O101" s="13">
        <v>179.4</v>
      </c>
    </row>
    <row r="102" ht="15.75" customHeight="1">
      <c r="A102" s="5" t="s">
        <v>1190</v>
      </c>
      <c r="B102" s="5" t="s">
        <v>968</v>
      </c>
      <c r="C102" s="5" t="s">
        <v>1022</v>
      </c>
      <c r="D102" s="5" t="s">
        <v>15</v>
      </c>
      <c r="E102" s="5">
        <v>12.0</v>
      </c>
      <c r="F102" s="5" t="s">
        <v>162</v>
      </c>
      <c r="G102" s="5" t="s">
        <v>970</v>
      </c>
      <c r="H102" s="5">
        <v>753.0</v>
      </c>
      <c r="I102" s="5">
        <v>53.0</v>
      </c>
      <c r="J102" s="5">
        <v>29.4</v>
      </c>
      <c r="K102" s="5">
        <v>4.5</v>
      </c>
      <c r="L102" s="14" t="s">
        <v>971</v>
      </c>
      <c r="M102" s="5" t="s">
        <v>1191</v>
      </c>
      <c r="N102" s="5" t="s">
        <v>68</v>
      </c>
      <c r="O102" s="12">
        <v>269.1</v>
      </c>
    </row>
    <row r="103" ht="15.75" customHeight="1">
      <c r="A103" s="7" t="s">
        <v>1192</v>
      </c>
      <c r="B103" s="17" t="s">
        <v>983</v>
      </c>
      <c r="C103" s="7" t="s">
        <v>1067</v>
      </c>
      <c r="D103" s="7" t="s">
        <v>18</v>
      </c>
      <c r="E103" s="7">
        <v>4.0</v>
      </c>
      <c r="F103" s="7" t="s">
        <v>76</v>
      </c>
      <c r="G103" s="7" t="s">
        <v>970</v>
      </c>
      <c r="H103" s="7">
        <v>1384.0</v>
      </c>
      <c r="I103" s="7">
        <v>149.0</v>
      </c>
      <c r="J103" s="7">
        <v>20.3</v>
      </c>
      <c r="K103" s="7">
        <v>4.9</v>
      </c>
      <c r="L103" s="15" t="s">
        <v>971</v>
      </c>
      <c r="M103" s="7" t="s">
        <v>1193</v>
      </c>
      <c r="N103" s="7" t="s">
        <v>68</v>
      </c>
      <c r="O103" s="13">
        <v>269.1</v>
      </c>
    </row>
    <row r="104" ht="15.75" customHeight="1">
      <c r="A104" s="5" t="s">
        <v>1194</v>
      </c>
      <c r="B104" s="16" t="s">
        <v>983</v>
      </c>
      <c r="C104" s="5" t="s">
        <v>1018</v>
      </c>
      <c r="D104" s="5" t="s">
        <v>17</v>
      </c>
      <c r="E104" s="5">
        <v>5.0</v>
      </c>
      <c r="F104" s="5" t="s">
        <v>141</v>
      </c>
      <c r="G104" s="5" t="s">
        <v>970</v>
      </c>
      <c r="H104" s="5">
        <v>1755.0</v>
      </c>
      <c r="I104" s="5">
        <v>176.0</v>
      </c>
      <c r="J104" s="5">
        <v>35.6</v>
      </c>
      <c r="K104" s="5">
        <v>5.0</v>
      </c>
      <c r="L104" s="14" t="s">
        <v>971</v>
      </c>
      <c r="M104" s="5" t="s">
        <v>1099</v>
      </c>
      <c r="N104" s="5" t="s">
        <v>68</v>
      </c>
      <c r="O104" s="12">
        <v>89.7</v>
      </c>
    </row>
    <row r="105" ht="15.75" customHeight="1">
      <c r="A105" s="7" t="s">
        <v>1195</v>
      </c>
      <c r="B105" s="7" t="s">
        <v>968</v>
      </c>
      <c r="C105" s="7" t="s">
        <v>172</v>
      </c>
      <c r="D105" s="7" t="s">
        <v>7</v>
      </c>
      <c r="E105" s="7">
        <v>3.0</v>
      </c>
      <c r="F105" s="7" t="s">
        <v>141</v>
      </c>
      <c r="G105" s="7" t="s">
        <v>970</v>
      </c>
      <c r="H105" s="7">
        <v>702.0</v>
      </c>
      <c r="I105" s="7">
        <v>47.0</v>
      </c>
      <c r="J105" s="7">
        <v>29.3</v>
      </c>
      <c r="K105" s="7">
        <v>4.6</v>
      </c>
      <c r="L105" s="15" t="s">
        <v>971</v>
      </c>
      <c r="M105" s="7" t="s">
        <v>1196</v>
      </c>
      <c r="N105" s="7" t="s">
        <v>68</v>
      </c>
      <c r="O105" s="13">
        <v>179.4</v>
      </c>
    </row>
    <row r="106" ht="15.75" customHeight="1">
      <c r="A106" s="5" t="s">
        <v>1197</v>
      </c>
      <c r="B106" s="5" t="s">
        <v>968</v>
      </c>
      <c r="C106" s="5" t="s">
        <v>995</v>
      </c>
      <c r="D106" s="5" t="s">
        <v>7</v>
      </c>
      <c r="E106" s="5">
        <v>4.0</v>
      </c>
      <c r="F106" s="5" t="s">
        <v>76</v>
      </c>
      <c r="G106" s="5" t="s">
        <v>970</v>
      </c>
      <c r="H106" s="5">
        <v>1907.0</v>
      </c>
      <c r="I106" s="5">
        <v>187.0</v>
      </c>
      <c r="J106" s="5">
        <v>44.9</v>
      </c>
      <c r="K106" s="5">
        <v>4.9</v>
      </c>
      <c r="L106" s="14" t="s">
        <v>971</v>
      </c>
      <c r="M106" s="5" t="s">
        <v>1198</v>
      </c>
      <c r="N106" s="5" t="s">
        <v>68</v>
      </c>
      <c r="O106" s="12">
        <v>119.6</v>
      </c>
    </row>
    <row r="107" ht="15.75" customHeight="1">
      <c r="A107" s="7" t="s">
        <v>1199</v>
      </c>
      <c r="B107" s="17" t="s">
        <v>983</v>
      </c>
      <c r="C107" s="7" t="s">
        <v>987</v>
      </c>
      <c r="D107" s="7" t="s">
        <v>9</v>
      </c>
      <c r="E107" s="7">
        <v>14.0</v>
      </c>
      <c r="F107" s="7" t="s">
        <v>93</v>
      </c>
      <c r="G107" s="7" t="s">
        <v>970</v>
      </c>
      <c r="H107" s="7">
        <v>3955.0</v>
      </c>
      <c r="I107" s="7">
        <v>466.0</v>
      </c>
      <c r="J107" s="7">
        <v>10.8</v>
      </c>
      <c r="K107" s="7">
        <v>4.4</v>
      </c>
      <c r="L107" s="15" t="s">
        <v>971</v>
      </c>
      <c r="M107" s="7" t="s">
        <v>1200</v>
      </c>
      <c r="N107" s="7" t="s">
        <v>68</v>
      </c>
      <c r="O107" s="13">
        <v>328.9</v>
      </c>
    </row>
    <row r="108" ht="15.75" customHeight="1">
      <c r="A108" s="5" t="s">
        <v>1201</v>
      </c>
      <c r="B108" s="5" t="s">
        <v>968</v>
      </c>
      <c r="C108" s="5" t="s">
        <v>1098</v>
      </c>
      <c r="D108" s="5" t="s">
        <v>9</v>
      </c>
      <c r="E108" s="5">
        <v>7.0</v>
      </c>
      <c r="F108" s="5" t="s">
        <v>93</v>
      </c>
      <c r="G108" s="5" t="s">
        <v>970</v>
      </c>
      <c r="H108" s="5">
        <v>251.0</v>
      </c>
      <c r="I108" s="5">
        <v>23.0</v>
      </c>
      <c r="J108" s="5">
        <v>14.9</v>
      </c>
      <c r="K108" s="5">
        <v>4.7</v>
      </c>
      <c r="L108" s="19" t="s">
        <v>1052</v>
      </c>
      <c r="M108" s="5" t="s">
        <v>1087</v>
      </c>
      <c r="N108" s="5" t="s">
        <v>1106</v>
      </c>
      <c r="O108" s="12">
        <v>89.7</v>
      </c>
    </row>
    <row r="109" ht="15.75" customHeight="1">
      <c r="A109" s="7" t="s">
        <v>1202</v>
      </c>
      <c r="B109" s="7" t="s">
        <v>968</v>
      </c>
      <c r="C109" s="7" t="s">
        <v>1043</v>
      </c>
      <c r="D109" s="7" t="s">
        <v>13</v>
      </c>
      <c r="E109" s="7">
        <v>3.0</v>
      </c>
      <c r="F109" s="7" t="s">
        <v>59</v>
      </c>
      <c r="G109" s="7" t="s">
        <v>970</v>
      </c>
      <c r="H109" s="7">
        <v>1008.0</v>
      </c>
      <c r="I109" s="7">
        <v>60.0</v>
      </c>
      <c r="J109" s="7">
        <v>29.8</v>
      </c>
      <c r="K109" s="7">
        <v>4.9</v>
      </c>
      <c r="L109" s="15" t="s">
        <v>971</v>
      </c>
      <c r="M109" s="7" t="s">
        <v>1203</v>
      </c>
      <c r="N109" s="7" t="s">
        <v>68</v>
      </c>
      <c r="O109" s="13">
        <v>179.4</v>
      </c>
    </row>
    <row r="110" ht="15.75" customHeight="1">
      <c r="A110" s="5" t="s">
        <v>1204</v>
      </c>
      <c r="B110" s="16" t="s">
        <v>983</v>
      </c>
      <c r="C110" s="5" t="s">
        <v>1004</v>
      </c>
      <c r="D110" s="5" t="s">
        <v>16</v>
      </c>
      <c r="E110" s="5">
        <v>9.0</v>
      </c>
      <c r="F110" s="5" t="s">
        <v>59</v>
      </c>
      <c r="G110" s="5" t="s">
        <v>970</v>
      </c>
      <c r="H110" s="5">
        <v>205.0</v>
      </c>
      <c r="I110" s="5">
        <v>21.0</v>
      </c>
      <c r="J110" s="5">
        <v>21.8</v>
      </c>
      <c r="K110" s="5">
        <v>4.3</v>
      </c>
      <c r="L110" s="14" t="s">
        <v>971</v>
      </c>
      <c r="M110" s="5" t="s">
        <v>1205</v>
      </c>
      <c r="N110" s="5" t="s">
        <v>68</v>
      </c>
      <c r="O110" s="12">
        <v>89.7</v>
      </c>
    </row>
    <row r="111" ht="15.75" customHeight="1">
      <c r="A111" s="7" t="s">
        <v>1206</v>
      </c>
      <c r="B111" s="7" t="s">
        <v>968</v>
      </c>
      <c r="C111" s="7" t="s">
        <v>977</v>
      </c>
      <c r="D111" s="7" t="s">
        <v>17</v>
      </c>
      <c r="E111" s="7">
        <v>13.0</v>
      </c>
      <c r="F111" s="7" t="s">
        <v>81</v>
      </c>
      <c r="G111" s="7" t="s">
        <v>970</v>
      </c>
      <c r="H111" s="7">
        <v>765.0</v>
      </c>
      <c r="I111" s="7">
        <v>68.0</v>
      </c>
      <c r="J111" s="7">
        <v>4.6</v>
      </c>
      <c r="K111" s="7">
        <v>4.0</v>
      </c>
      <c r="L111" s="15" t="s">
        <v>971</v>
      </c>
      <c r="M111" s="7" t="s">
        <v>1092</v>
      </c>
      <c r="N111" s="7" t="s">
        <v>68</v>
      </c>
      <c r="O111" s="13">
        <v>119.6</v>
      </c>
    </row>
    <row r="112" ht="15.75" customHeight="1">
      <c r="A112" s="5" t="s">
        <v>1207</v>
      </c>
      <c r="B112" s="16" t="s">
        <v>983</v>
      </c>
      <c r="C112" s="5" t="s">
        <v>1152</v>
      </c>
      <c r="D112" s="5" t="s">
        <v>7</v>
      </c>
      <c r="E112" s="5">
        <v>14.0</v>
      </c>
      <c r="F112" s="5" t="s">
        <v>141</v>
      </c>
      <c r="G112" s="5" t="s">
        <v>970</v>
      </c>
      <c r="H112" s="5">
        <v>749.0</v>
      </c>
      <c r="I112" s="5">
        <v>186.0</v>
      </c>
      <c r="J112" s="5">
        <v>25.8</v>
      </c>
      <c r="K112" s="5">
        <v>4.5</v>
      </c>
      <c r="L112" s="14" t="s">
        <v>971</v>
      </c>
      <c r="M112" s="5" t="s">
        <v>1184</v>
      </c>
      <c r="N112" s="5" t="s">
        <v>68</v>
      </c>
      <c r="O112" s="12">
        <v>149.5</v>
      </c>
    </row>
    <row r="113" ht="15.75" customHeight="1">
      <c r="A113" s="7" t="s">
        <v>1208</v>
      </c>
      <c r="B113" s="17" t="s">
        <v>983</v>
      </c>
      <c r="C113" s="7" t="s">
        <v>1001</v>
      </c>
      <c r="D113" s="7" t="s">
        <v>7</v>
      </c>
      <c r="E113" s="7">
        <v>13.0</v>
      </c>
      <c r="F113" s="7" t="s">
        <v>93</v>
      </c>
      <c r="G113" s="7" t="s">
        <v>970</v>
      </c>
      <c r="H113" s="7">
        <v>460.0</v>
      </c>
      <c r="I113" s="7">
        <v>73.0</v>
      </c>
      <c r="J113" s="7">
        <v>38.4</v>
      </c>
      <c r="K113" s="7">
        <v>4.4</v>
      </c>
      <c r="L113" s="15" t="s">
        <v>971</v>
      </c>
      <c r="M113" s="7" t="s">
        <v>1209</v>
      </c>
      <c r="N113" s="7" t="s">
        <v>68</v>
      </c>
      <c r="O113" s="13">
        <v>179.4</v>
      </c>
    </row>
    <row r="114" ht="15.75" customHeight="1">
      <c r="A114" s="5" t="s">
        <v>1210</v>
      </c>
      <c r="B114" s="5" t="s">
        <v>968</v>
      </c>
      <c r="C114" s="5" t="s">
        <v>1211</v>
      </c>
      <c r="D114" s="5" t="s">
        <v>13</v>
      </c>
      <c r="E114" s="5">
        <v>5.0</v>
      </c>
      <c r="F114" s="5" t="s">
        <v>98</v>
      </c>
      <c r="G114" s="5" t="s">
        <v>970</v>
      </c>
      <c r="H114" s="5">
        <v>907.0</v>
      </c>
      <c r="I114" s="5">
        <v>61.0</v>
      </c>
      <c r="J114" s="5">
        <v>22.4</v>
      </c>
      <c r="K114" s="5">
        <v>4.6</v>
      </c>
      <c r="L114" s="14" t="s">
        <v>971</v>
      </c>
      <c r="M114" s="5" t="s">
        <v>1212</v>
      </c>
      <c r="N114" s="5" t="s">
        <v>68</v>
      </c>
      <c r="O114" s="12">
        <v>119.6</v>
      </c>
    </row>
    <row r="115" ht="15.75" customHeight="1">
      <c r="A115" s="7" t="s">
        <v>1213</v>
      </c>
      <c r="B115" s="17" t="s">
        <v>983</v>
      </c>
      <c r="C115" s="7" t="s">
        <v>1048</v>
      </c>
      <c r="D115" s="7" t="s">
        <v>17</v>
      </c>
      <c r="E115" s="7">
        <v>6.0</v>
      </c>
      <c r="F115" s="7" t="s">
        <v>141</v>
      </c>
      <c r="G115" s="7" t="s">
        <v>970</v>
      </c>
      <c r="H115" s="7">
        <v>2411.0</v>
      </c>
      <c r="I115" s="7">
        <v>421.0</v>
      </c>
      <c r="J115" s="7">
        <v>47.3</v>
      </c>
      <c r="K115" s="7">
        <v>3.9</v>
      </c>
      <c r="L115" s="15" t="s">
        <v>971</v>
      </c>
      <c r="M115" s="7" t="s">
        <v>1148</v>
      </c>
      <c r="N115" s="7" t="s">
        <v>68</v>
      </c>
      <c r="O115" s="13">
        <v>119.6</v>
      </c>
    </row>
    <row r="116" ht="15.75" customHeight="1">
      <c r="A116" s="5" t="s">
        <v>1214</v>
      </c>
      <c r="B116" s="5" t="s">
        <v>968</v>
      </c>
      <c r="C116" s="5" t="s">
        <v>1035</v>
      </c>
      <c r="D116" s="5" t="s">
        <v>7</v>
      </c>
      <c r="E116" s="5">
        <v>3.0</v>
      </c>
      <c r="F116" s="5" t="s">
        <v>76</v>
      </c>
      <c r="G116" s="5" t="s">
        <v>970</v>
      </c>
      <c r="H116" s="5">
        <v>1295.0</v>
      </c>
      <c r="I116" s="5">
        <v>169.0</v>
      </c>
      <c r="J116" s="5">
        <v>1.0</v>
      </c>
      <c r="K116" s="5">
        <v>4.6</v>
      </c>
      <c r="L116" s="14" t="s">
        <v>971</v>
      </c>
      <c r="M116" s="5" t="s">
        <v>1215</v>
      </c>
      <c r="N116" s="5" t="s">
        <v>68</v>
      </c>
      <c r="O116" s="12">
        <v>239.2</v>
      </c>
    </row>
    <row r="117" ht="15.75" customHeight="1">
      <c r="A117" s="7" t="s">
        <v>1216</v>
      </c>
      <c r="B117" s="17" t="s">
        <v>983</v>
      </c>
      <c r="C117" s="7" t="s">
        <v>1121</v>
      </c>
      <c r="D117" s="7" t="s">
        <v>18</v>
      </c>
      <c r="E117" s="7">
        <v>9.0</v>
      </c>
      <c r="F117" s="7" t="s">
        <v>81</v>
      </c>
      <c r="G117" s="7" t="s">
        <v>970</v>
      </c>
      <c r="H117" s="7">
        <v>1580.0</v>
      </c>
      <c r="I117" s="7">
        <v>346.0</v>
      </c>
      <c r="J117" s="7">
        <v>37.3</v>
      </c>
      <c r="K117" s="7">
        <v>4.4</v>
      </c>
      <c r="L117" s="15" t="s">
        <v>971</v>
      </c>
      <c r="M117" s="7" t="s">
        <v>1182</v>
      </c>
      <c r="N117" s="7" t="s">
        <v>68</v>
      </c>
      <c r="O117" s="13">
        <v>149.5</v>
      </c>
    </row>
    <row r="118" ht="15.75" customHeight="1">
      <c r="A118" s="5" t="s">
        <v>1217</v>
      </c>
      <c r="B118" s="5" t="s">
        <v>968</v>
      </c>
      <c r="C118" s="5" t="s">
        <v>1218</v>
      </c>
      <c r="D118" s="5" t="s">
        <v>11</v>
      </c>
      <c r="E118" s="5">
        <v>2.0</v>
      </c>
      <c r="F118" s="5" t="s">
        <v>141</v>
      </c>
      <c r="G118" s="5" t="s">
        <v>970</v>
      </c>
      <c r="H118" s="5">
        <v>633.0</v>
      </c>
      <c r="I118" s="5">
        <v>39.0</v>
      </c>
      <c r="J118" s="5">
        <v>20.6</v>
      </c>
      <c r="K118" s="5">
        <v>4.1</v>
      </c>
      <c r="L118" s="14" t="s">
        <v>971</v>
      </c>
      <c r="M118" s="5" t="s">
        <v>1196</v>
      </c>
      <c r="N118" s="5" t="s">
        <v>68</v>
      </c>
      <c r="O118" s="12">
        <v>179.4</v>
      </c>
    </row>
    <row r="119" ht="15.75" customHeight="1">
      <c r="A119" s="7" t="s">
        <v>1219</v>
      </c>
      <c r="B119" s="7" t="s">
        <v>968</v>
      </c>
      <c r="C119" s="7" t="s">
        <v>308</v>
      </c>
      <c r="D119" s="7" t="s">
        <v>7</v>
      </c>
      <c r="E119" s="7">
        <v>14.0</v>
      </c>
      <c r="F119" s="7" t="s">
        <v>93</v>
      </c>
      <c r="G119" s="7" t="s">
        <v>970</v>
      </c>
      <c r="H119" s="7">
        <v>2371.0</v>
      </c>
      <c r="I119" s="7">
        <v>192.0</v>
      </c>
      <c r="J119" s="7">
        <v>46.0</v>
      </c>
      <c r="K119" s="7">
        <v>4.4</v>
      </c>
      <c r="L119" s="15" t="s">
        <v>971</v>
      </c>
      <c r="M119" s="7" t="s">
        <v>1220</v>
      </c>
      <c r="N119" s="7" t="s">
        <v>68</v>
      </c>
      <c r="O119" s="13">
        <v>119.6</v>
      </c>
    </row>
    <row r="120" ht="15.75" customHeight="1">
      <c r="A120" s="5" t="s">
        <v>1221</v>
      </c>
      <c r="B120" s="5" t="s">
        <v>968</v>
      </c>
      <c r="C120" s="5" t="s">
        <v>995</v>
      </c>
      <c r="D120" s="5" t="s">
        <v>9</v>
      </c>
      <c r="E120" s="5">
        <v>7.0</v>
      </c>
      <c r="F120" s="5" t="s">
        <v>98</v>
      </c>
      <c r="G120" s="5" t="s">
        <v>970</v>
      </c>
      <c r="H120" s="5">
        <v>1423.0</v>
      </c>
      <c r="I120" s="5">
        <v>176.0</v>
      </c>
      <c r="J120" s="5">
        <v>4.1</v>
      </c>
      <c r="K120" s="5">
        <v>4.7</v>
      </c>
      <c r="L120" s="14" t="s">
        <v>971</v>
      </c>
      <c r="M120" s="5" t="s">
        <v>1222</v>
      </c>
      <c r="N120" s="5" t="s">
        <v>68</v>
      </c>
      <c r="O120" s="12">
        <v>89.7</v>
      </c>
    </row>
    <row r="121" ht="15.75" customHeight="1">
      <c r="A121" s="7" t="s">
        <v>1223</v>
      </c>
      <c r="B121" s="7" t="s">
        <v>968</v>
      </c>
      <c r="C121" s="7" t="s">
        <v>977</v>
      </c>
      <c r="D121" s="7" t="s">
        <v>18</v>
      </c>
      <c r="E121" s="7">
        <v>2.0</v>
      </c>
      <c r="F121" s="7" t="s">
        <v>93</v>
      </c>
      <c r="G121" s="7" t="s">
        <v>970</v>
      </c>
      <c r="H121" s="7">
        <v>2009.0</v>
      </c>
      <c r="I121" s="7">
        <v>227.0</v>
      </c>
      <c r="J121" s="7">
        <v>29.3</v>
      </c>
      <c r="K121" s="7">
        <v>4.1</v>
      </c>
      <c r="L121" s="15" t="s">
        <v>971</v>
      </c>
      <c r="M121" s="7" t="s">
        <v>1224</v>
      </c>
      <c r="N121" s="7" t="s">
        <v>68</v>
      </c>
      <c r="O121" s="13">
        <v>89.7</v>
      </c>
    </row>
    <row r="122" ht="15.75" customHeight="1">
      <c r="A122" s="5" t="s">
        <v>1225</v>
      </c>
      <c r="B122" s="5" t="s">
        <v>968</v>
      </c>
      <c r="C122" s="5" t="s">
        <v>215</v>
      </c>
      <c r="D122" s="5" t="s">
        <v>16</v>
      </c>
      <c r="E122" s="5">
        <v>10.0</v>
      </c>
      <c r="F122" s="5" t="s">
        <v>81</v>
      </c>
      <c r="G122" s="5" t="s">
        <v>970</v>
      </c>
      <c r="H122" s="5">
        <v>1072.0</v>
      </c>
      <c r="I122" s="5">
        <v>65.0</v>
      </c>
      <c r="J122" s="5">
        <v>45.0</v>
      </c>
      <c r="K122" s="5">
        <v>3.9</v>
      </c>
      <c r="L122" s="14" t="s">
        <v>971</v>
      </c>
      <c r="M122" s="5" t="s">
        <v>1226</v>
      </c>
      <c r="N122" s="5" t="s">
        <v>68</v>
      </c>
      <c r="O122" s="12">
        <v>149.5</v>
      </c>
    </row>
    <row r="123" ht="15.75" customHeight="1">
      <c r="A123" s="7" t="s">
        <v>1227</v>
      </c>
      <c r="B123" s="17" t="s">
        <v>983</v>
      </c>
      <c r="C123" s="7" t="s">
        <v>1025</v>
      </c>
      <c r="D123" s="7" t="s">
        <v>16</v>
      </c>
      <c r="E123" s="7">
        <v>6.0</v>
      </c>
      <c r="F123" s="7" t="s">
        <v>93</v>
      </c>
      <c r="G123" s="7" t="s">
        <v>970</v>
      </c>
      <c r="H123" s="7">
        <v>811.0</v>
      </c>
      <c r="I123" s="7">
        <v>146.0</v>
      </c>
      <c r="J123" s="7">
        <v>23.7</v>
      </c>
      <c r="K123" s="7">
        <v>4.2</v>
      </c>
      <c r="L123" s="15" t="s">
        <v>971</v>
      </c>
      <c r="M123" s="7" t="s">
        <v>1228</v>
      </c>
      <c r="N123" s="7" t="s">
        <v>68</v>
      </c>
      <c r="O123" s="13">
        <v>269.1</v>
      </c>
    </row>
    <row r="124" ht="15.75" customHeight="1">
      <c r="A124" s="5" t="s">
        <v>1229</v>
      </c>
      <c r="B124" s="16" t="s">
        <v>983</v>
      </c>
      <c r="C124" s="5" t="s">
        <v>984</v>
      </c>
      <c r="D124" s="5" t="s">
        <v>11</v>
      </c>
      <c r="E124" s="5">
        <v>6.0</v>
      </c>
      <c r="F124" s="5" t="s">
        <v>121</v>
      </c>
      <c r="G124" s="5" t="s">
        <v>970</v>
      </c>
      <c r="H124" s="5">
        <v>2495.0</v>
      </c>
      <c r="I124" s="5">
        <v>394.0</v>
      </c>
      <c r="J124" s="5">
        <v>42.9</v>
      </c>
      <c r="K124" s="5">
        <v>4.7</v>
      </c>
      <c r="L124" s="14" t="s">
        <v>971</v>
      </c>
      <c r="M124" s="5" t="s">
        <v>1230</v>
      </c>
      <c r="N124" s="5" t="s">
        <v>68</v>
      </c>
      <c r="O124" s="12">
        <v>59.8</v>
      </c>
    </row>
    <row r="125" ht="15.75" customHeight="1">
      <c r="A125" s="7" t="s">
        <v>1231</v>
      </c>
      <c r="B125" s="17" t="s">
        <v>983</v>
      </c>
      <c r="C125" s="7" t="s">
        <v>1166</v>
      </c>
      <c r="D125" s="7" t="s">
        <v>18</v>
      </c>
      <c r="E125" s="7">
        <v>15.0</v>
      </c>
      <c r="F125" s="7" t="s">
        <v>81</v>
      </c>
      <c r="G125" s="7" t="s">
        <v>970</v>
      </c>
      <c r="H125" s="7">
        <v>4651.0</v>
      </c>
      <c r="I125" s="7">
        <v>838.0</v>
      </c>
      <c r="J125" s="7">
        <v>1.2</v>
      </c>
      <c r="K125" s="7">
        <v>4.1</v>
      </c>
      <c r="L125" s="15" t="s">
        <v>971</v>
      </c>
      <c r="M125" s="7" t="s">
        <v>1232</v>
      </c>
      <c r="N125" s="7" t="s">
        <v>68</v>
      </c>
      <c r="O125" s="13">
        <v>89.7</v>
      </c>
    </row>
    <row r="126" ht="15.75" customHeight="1">
      <c r="A126" s="5" t="s">
        <v>1233</v>
      </c>
      <c r="B126" s="5" t="s">
        <v>968</v>
      </c>
      <c r="C126" s="5" t="s">
        <v>1234</v>
      </c>
      <c r="D126" s="5" t="s">
        <v>9</v>
      </c>
      <c r="E126" s="5">
        <v>12.0</v>
      </c>
      <c r="F126" s="5" t="s">
        <v>121</v>
      </c>
      <c r="G126" s="5" t="s">
        <v>970</v>
      </c>
      <c r="H126" s="5">
        <v>2069.0</v>
      </c>
      <c r="I126" s="5">
        <v>111.0</v>
      </c>
      <c r="J126" s="5">
        <v>45.3</v>
      </c>
      <c r="K126" s="5">
        <v>4.4</v>
      </c>
      <c r="L126" s="14" t="s">
        <v>971</v>
      </c>
      <c r="M126" s="5" t="s">
        <v>1235</v>
      </c>
      <c r="N126" s="5" t="s">
        <v>68</v>
      </c>
      <c r="O126" s="12">
        <v>29.9</v>
      </c>
    </row>
    <row r="127" ht="15.75" customHeight="1">
      <c r="A127" s="7" t="s">
        <v>1236</v>
      </c>
      <c r="B127" s="7" t="s">
        <v>968</v>
      </c>
      <c r="C127" s="7" t="s">
        <v>1098</v>
      </c>
      <c r="D127" s="7" t="s">
        <v>11</v>
      </c>
      <c r="E127" s="7">
        <v>15.0</v>
      </c>
      <c r="F127" s="7" t="s">
        <v>81</v>
      </c>
      <c r="G127" s="7" t="s">
        <v>970</v>
      </c>
      <c r="H127" s="7">
        <v>1633.0</v>
      </c>
      <c r="I127" s="7">
        <v>103.0</v>
      </c>
      <c r="J127" s="7">
        <v>16.4</v>
      </c>
      <c r="K127" s="7">
        <v>4.3</v>
      </c>
      <c r="L127" s="18" t="s">
        <v>1052</v>
      </c>
      <c r="M127" s="7" t="s">
        <v>1054</v>
      </c>
      <c r="N127" s="7" t="s">
        <v>1237</v>
      </c>
      <c r="O127" s="13">
        <v>59.8</v>
      </c>
    </row>
    <row r="128" ht="15.75" customHeight="1">
      <c r="A128" s="5" t="s">
        <v>1238</v>
      </c>
      <c r="B128" s="16" t="s">
        <v>983</v>
      </c>
      <c r="C128" s="5" t="s">
        <v>1004</v>
      </c>
      <c r="D128" s="5" t="s">
        <v>7</v>
      </c>
      <c r="E128" s="5">
        <v>5.0</v>
      </c>
      <c r="F128" s="5" t="s">
        <v>76</v>
      </c>
      <c r="G128" s="5" t="s">
        <v>970</v>
      </c>
      <c r="H128" s="5">
        <v>3769.0</v>
      </c>
      <c r="I128" s="5">
        <v>541.0</v>
      </c>
      <c r="J128" s="5">
        <v>9.4</v>
      </c>
      <c r="K128" s="5">
        <v>4.4</v>
      </c>
      <c r="L128" s="14" t="s">
        <v>971</v>
      </c>
      <c r="M128" s="5" t="s">
        <v>1239</v>
      </c>
      <c r="N128" s="5" t="s">
        <v>68</v>
      </c>
      <c r="O128" s="12">
        <v>299.0</v>
      </c>
    </row>
    <row r="129" ht="15.75" customHeight="1">
      <c r="A129" s="7" t="s">
        <v>1240</v>
      </c>
      <c r="B129" s="7" t="s">
        <v>968</v>
      </c>
      <c r="C129" s="7" t="s">
        <v>1030</v>
      </c>
      <c r="D129" s="7" t="s">
        <v>15</v>
      </c>
      <c r="E129" s="7">
        <v>6.0</v>
      </c>
      <c r="F129" s="7" t="s">
        <v>121</v>
      </c>
      <c r="G129" s="7" t="s">
        <v>970</v>
      </c>
      <c r="H129" s="7">
        <v>1541.0</v>
      </c>
      <c r="I129" s="7">
        <v>193.0</v>
      </c>
      <c r="J129" s="7">
        <v>4.7</v>
      </c>
      <c r="K129" s="7">
        <v>4.6</v>
      </c>
      <c r="L129" s="15" t="s">
        <v>971</v>
      </c>
      <c r="M129" s="7" t="s">
        <v>1241</v>
      </c>
      <c r="N129" s="7" t="s">
        <v>68</v>
      </c>
      <c r="O129" s="13">
        <v>119.6</v>
      </c>
    </row>
    <row r="130" ht="15.75" customHeight="1">
      <c r="A130" s="5" t="s">
        <v>1242</v>
      </c>
      <c r="B130" s="16" t="s">
        <v>983</v>
      </c>
      <c r="C130" s="5" t="s">
        <v>1132</v>
      </c>
      <c r="D130" s="5" t="s">
        <v>11</v>
      </c>
      <c r="E130" s="5">
        <v>3.0</v>
      </c>
      <c r="F130" s="5" t="s">
        <v>141</v>
      </c>
      <c r="G130" s="5" t="s">
        <v>970</v>
      </c>
      <c r="H130" s="5">
        <v>2823.0</v>
      </c>
      <c r="I130" s="5">
        <v>697.0</v>
      </c>
      <c r="J130" s="5">
        <v>12.0</v>
      </c>
      <c r="K130" s="5">
        <v>3.9</v>
      </c>
      <c r="L130" s="14" t="s">
        <v>971</v>
      </c>
      <c r="M130" s="5" t="s">
        <v>1243</v>
      </c>
      <c r="N130" s="5" t="s">
        <v>68</v>
      </c>
      <c r="O130" s="12">
        <v>239.2</v>
      </c>
    </row>
    <row r="131" ht="15.75" customHeight="1">
      <c r="A131" s="7" t="s">
        <v>1244</v>
      </c>
      <c r="B131" s="17" t="s">
        <v>983</v>
      </c>
      <c r="C131" s="7" t="s">
        <v>1132</v>
      </c>
      <c r="D131" s="7" t="s">
        <v>13</v>
      </c>
      <c r="E131" s="7">
        <v>2.0</v>
      </c>
      <c r="F131" s="7" t="s">
        <v>162</v>
      </c>
      <c r="G131" s="7" t="s">
        <v>970</v>
      </c>
      <c r="H131" s="7">
        <v>6009.0</v>
      </c>
      <c r="I131" s="7">
        <v>974.0</v>
      </c>
      <c r="J131" s="7">
        <v>31.4</v>
      </c>
      <c r="K131" s="7">
        <v>4.3</v>
      </c>
      <c r="L131" s="15" t="s">
        <v>971</v>
      </c>
      <c r="M131" s="7" t="s">
        <v>1245</v>
      </c>
      <c r="N131" s="7" t="s">
        <v>68</v>
      </c>
      <c r="O131" s="13">
        <v>119.6</v>
      </c>
    </row>
    <row r="132" ht="15.75" customHeight="1">
      <c r="A132" s="5" t="s">
        <v>1246</v>
      </c>
      <c r="B132" s="5" t="s">
        <v>968</v>
      </c>
      <c r="C132" s="5" t="s">
        <v>1098</v>
      </c>
      <c r="D132" s="5" t="s">
        <v>18</v>
      </c>
      <c r="E132" s="5">
        <v>15.0</v>
      </c>
      <c r="F132" s="5" t="s">
        <v>98</v>
      </c>
      <c r="G132" s="5" t="s">
        <v>970</v>
      </c>
      <c r="H132" s="5">
        <v>879.0</v>
      </c>
      <c r="I132" s="5">
        <v>91.0</v>
      </c>
      <c r="J132" s="5">
        <v>31.3</v>
      </c>
      <c r="K132" s="5">
        <v>4.1</v>
      </c>
      <c r="L132" s="14" t="s">
        <v>971</v>
      </c>
      <c r="M132" s="5" t="s">
        <v>1220</v>
      </c>
      <c r="N132" s="5" t="s">
        <v>68</v>
      </c>
      <c r="O132" s="12">
        <v>119.6</v>
      </c>
    </row>
    <row r="133" ht="15.75" customHeight="1">
      <c r="A133" s="7" t="s">
        <v>1247</v>
      </c>
      <c r="B133" s="17" t="s">
        <v>983</v>
      </c>
      <c r="C133" s="7" t="s">
        <v>1076</v>
      </c>
      <c r="D133" s="7" t="s">
        <v>7</v>
      </c>
      <c r="E133" s="7">
        <v>11.0</v>
      </c>
      <c r="F133" s="7" t="s">
        <v>98</v>
      </c>
      <c r="G133" s="7" t="s">
        <v>970</v>
      </c>
      <c r="H133" s="7">
        <v>1990.0</v>
      </c>
      <c r="I133" s="7">
        <v>416.0</v>
      </c>
      <c r="J133" s="7">
        <v>30.9</v>
      </c>
      <c r="K133" s="7">
        <v>4.9</v>
      </c>
      <c r="L133" s="18" t="s">
        <v>1052</v>
      </c>
      <c r="M133" s="7" t="s">
        <v>1248</v>
      </c>
      <c r="N133" s="7" t="s">
        <v>1249</v>
      </c>
      <c r="O133" s="13">
        <v>29.9</v>
      </c>
    </row>
    <row r="134" ht="15.75" customHeight="1">
      <c r="A134" s="5" t="s">
        <v>1250</v>
      </c>
      <c r="B134" s="16" t="s">
        <v>983</v>
      </c>
      <c r="C134" s="5" t="s">
        <v>1038</v>
      </c>
      <c r="D134" s="5" t="s">
        <v>15</v>
      </c>
      <c r="E134" s="5">
        <v>10.0</v>
      </c>
      <c r="F134" s="5" t="s">
        <v>93</v>
      </c>
      <c r="G134" s="5" t="s">
        <v>970</v>
      </c>
      <c r="H134" s="5">
        <v>1685.0</v>
      </c>
      <c r="I134" s="5">
        <v>309.0</v>
      </c>
      <c r="J134" s="5">
        <v>15.2</v>
      </c>
      <c r="K134" s="5">
        <v>4.1</v>
      </c>
      <c r="L134" s="14" t="s">
        <v>971</v>
      </c>
      <c r="M134" s="5" t="s">
        <v>1182</v>
      </c>
      <c r="N134" s="5" t="s">
        <v>68</v>
      </c>
      <c r="O134" s="12">
        <v>149.5</v>
      </c>
    </row>
    <row r="135" ht="15.75" customHeight="1">
      <c r="A135" s="7" t="s">
        <v>1251</v>
      </c>
      <c r="B135" s="7" t="s">
        <v>968</v>
      </c>
      <c r="C135" s="7" t="s">
        <v>1252</v>
      </c>
      <c r="D135" s="7" t="s">
        <v>16</v>
      </c>
      <c r="E135" s="7">
        <v>2.0</v>
      </c>
      <c r="F135" s="7" t="s">
        <v>162</v>
      </c>
      <c r="G135" s="7" t="s">
        <v>970</v>
      </c>
      <c r="H135" s="7">
        <v>1374.0</v>
      </c>
      <c r="I135" s="7">
        <v>205.0</v>
      </c>
      <c r="J135" s="7">
        <v>6.1</v>
      </c>
      <c r="K135" s="7">
        <v>4.6</v>
      </c>
      <c r="L135" s="15" t="s">
        <v>971</v>
      </c>
      <c r="M135" s="7" t="s">
        <v>1222</v>
      </c>
      <c r="N135" s="7" t="s">
        <v>68</v>
      </c>
      <c r="O135" s="13">
        <v>89.7</v>
      </c>
    </row>
    <row r="136" ht="15.75" customHeight="1">
      <c r="A136" s="5" t="s">
        <v>1253</v>
      </c>
      <c r="B136" s="16" t="s">
        <v>983</v>
      </c>
      <c r="C136" s="5" t="s">
        <v>1164</v>
      </c>
      <c r="D136" s="5" t="s">
        <v>13</v>
      </c>
      <c r="E136" s="5">
        <v>13.0</v>
      </c>
      <c r="F136" s="5" t="s">
        <v>93</v>
      </c>
      <c r="G136" s="5" t="s">
        <v>970</v>
      </c>
      <c r="H136" s="5">
        <v>1561.0</v>
      </c>
      <c r="I136" s="5">
        <v>205.0</v>
      </c>
      <c r="J136" s="5">
        <v>27.3</v>
      </c>
      <c r="K136" s="5">
        <v>4.6</v>
      </c>
      <c r="L136" s="19" t="s">
        <v>1052</v>
      </c>
      <c r="M136" s="5" t="s">
        <v>978</v>
      </c>
      <c r="N136" s="5" t="s">
        <v>1254</v>
      </c>
      <c r="O136" s="12">
        <v>149.5</v>
      </c>
    </row>
    <row r="137" ht="15.75" customHeight="1">
      <c r="A137" s="7" t="s">
        <v>1255</v>
      </c>
      <c r="B137" s="17" t="s">
        <v>983</v>
      </c>
      <c r="C137" s="7" t="s">
        <v>1025</v>
      </c>
      <c r="D137" s="7" t="s">
        <v>7</v>
      </c>
      <c r="E137" s="7">
        <v>11.0</v>
      </c>
      <c r="F137" s="7" t="s">
        <v>59</v>
      </c>
      <c r="G137" s="7" t="s">
        <v>970</v>
      </c>
      <c r="H137" s="7">
        <v>1511.0</v>
      </c>
      <c r="I137" s="7">
        <v>278.0</v>
      </c>
      <c r="J137" s="7">
        <v>31.1</v>
      </c>
      <c r="K137" s="7">
        <v>4.1</v>
      </c>
      <c r="L137" s="18" t="s">
        <v>1052</v>
      </c>
      <c r="M137" s="7" t="s">
        <v>1256</v>
      </c>
      <c r="N137" s="7" t="s">
        <v>1257</v>
      </c>
      <c r="O137" s="13">
        <v>89.7</v>
      </c>
    </row>
    <row r="138" ht="15.75" customHeight="1">
      <c r="A138" s="5" t="s">
        <v>1258</v>
      </c>
      <c r="B138" s="5" t="s">
        <v>968</v>
      </c>
      <c r="C138" s="5" t="s">
        <v>1259</v>
      </c>
      <c r="D138" s="5" t="s">
        <v>18</v>
      </c>
      <c r="E138" s="5">
        <v>12.0</v>
      </c>
      <c r="F138" s="5" t="s">
        <v>76</v>
      </c>
      <c r="G138" s="5" t="s">
        <v>970</v>
      </c>
      <c r="H138" s="5">
        <v>172.0</v>
      </c>
      <c r="I138" s="5">
        <v>12.0</v>
      </c>
      <c r="J138" s="5">
        <v>35.7</v>
      </c>
      <c r="K138" s="5">
        <v>5.0</v>
      </c>
      <c r="L138" s="14" t="s">
        <v>971</v>
      </c>
      <c r="M138" s="5" t="s">
        <v>1260</v>
      </c>
      <c r="N138" s="5" t="s">
        <v>68</v>
      </c>
      <c r="O138" s="12">
        <v>89.7</v>
      </c>
    </row>
    <row r="139" ht="15.75" customHeight="1">
      <c r="A139" s="7" t="s">
        <v>1261</v>
      </c>
      <c r="B139" s="17" t="s">
        <v>983</v>
      </c>
      <c r="C139" s="7" t="s">
        <v>1121</v>
      </c>
      <c r="D139" s="7" t="s">
        <v>7</v>
      </c>
      <c r="E139" s="7">
        <v>14.0</v>
      </c>
      <c r="F139" s="7" t="s">
        <v>93</v>
      </c>
      <c r="G139" s="7" t="s">
        <v>970</v>
      </c>
      <c r="H139" s="7">
        <v>449.0</v>
      </c>
      <c r="I139" s="7">
        <v>92.0</v>
      </c>
      <c r="J139" s="7">
        <v>10.3</v>
      </c>
      <c r="K139" s="7">
        <v>4.3</v>
      </c>
      <c r="L139" s="15" t="s">
        <v>971</v>
      </c>
      <c r="M139" s="7" t="s">
        <v>1262</v>
      </c>
      <c r="N139" s="7" t="s">
        <v>68</v>
      </c>
      <c r="O139" s="13">
        <v>239.2</v>
      </c>
    </row>
    <row r="140" ht="15.75" customHeight="1">
      <c r="A140" s="5" t="s">
        <v>1263</v>
      </c>
      <c r="B140" s="5" t="s">
        <v>968</v>
      </c>
      <c r="C140" s="5" t="s">
        <v>1264</v>
      </c>
      <c r="D140" s="5" t="s">
        <v>15</v>
      </c>
      <c r="E140" s="5">
        <v>1.0</v>
      </c>
      <c r="F140" s="5" t="s">
        <v>141</v>
      </c>
      <c r="G140" s="5" t="s">
        <v>970</v>
      </c>
      <c r="H140" s="5">
        <v>1775.0</v>
      </c>
      <c r="I140" s="5">
        <v>170.0</v>
      </c>
      <c r="J140" s="5">
        <v>23.4</v>
      </c>
      <c r="K140" s="5">
        <v>4.9</v>
      </c>
      <c r="L140" s="14" t="s">
        <v>971</v>
      </c>
      <c r="M140" s="5" t="s">
        <v>1106</v>
      </c>
      <c r="N140" s="5" t="s">
        <v>68</v>
      </c>
      <c r="O140" s="12">
        <v>89.7</v>
      </c>
    </row>
    <row r="141" ht="15.75" customHeight="1">
      <c r="A141" s="7" t="s">
        <v>1265</v>
      </c>
      <c r="B141" s="17" t="s">
        <v>983</v>
      </c>
      <c r="C141" s="7" t="s">
        <v>1108</v>
      </c>
      <c r="D141" s="7" t="s">
        <v>16</v>
      </c>
      <c r="E141" s="7">
        <v>12.0</v>
      </c>
      <c r="F141" s="7" t="s">
        <v>59</v>
      </c>
      <c r="G141" s="7" t="s">
        <v>970</v>
      </c>
      <c r="H141" s="7">
        <v>84.0</v>
      </c>
      <c r="I141" s="7">
        <v>18.0</v>
      </c>
      <c r="J141" s="7">
        <v>27.4</v>
      </c>
      <c r="K141" s="7">
        <v>4.4</v>
      </c>
      <c r="L141" s="15" t="s">
        <v>971</v>
      </c>
      <c r="M141" s="7" t="s">
        <v>1266</v>
      </c>
      <c r="N141" s="7" t="s">
        <v>68</v>
      </c>
      <c r="O141" s="13">
        <v>179.4</v>
      </c>
    </row>
    <row r="142" ht="15.75" customHeight="1">
      <c r="A142" s="5" t="s">
        <v>1267</v>
      </c>
      <c r="B142" s="5" t="s">
        <v>968</v>
      </c>
      <c r="C142" s="5" t="s">
        <v>1081</v>
      </c>
      <c r="D142" s="5" t="s">
        <v>7</v>
      </c>
      <c r="E142" s="5">
        <v>12.0</v>
      </c>
      <c r="F142" s="5" t="s">
        <v>162</v>
      </c>
      <c r="G142" s="5" t="s">
        <v>970</v>
      </c>
      <c r="H142" s="5">
        <v>1915.0</v>
      </c>
      <c r="I142" s="5">
        <v>282.0</v>
      </c>
      <c r="J142" s="5">
        <v>21.7</v>
      </c>
      <c r="K142" s="5">
        <v>4.2</v>
      </c>
      <c r="L142" s="14" t="s">
        <v>971</v>
      </c>
      <c r="M142" s="5" t="s">
        <v>1109</v>
      </c>
      <c r="N142" s="5" t="s">
        <v>68</v>
      </c>
      <c r="O142" s="12">
        <v>209.3</v>
      </c>
    </row>
    <row r="143" ht="15.75" customHeight="1">
      <c r="A143" s="7" t="s">
        <v>1268</v>
      </c>
      <c r="B143" s="17" t="s">
        <v>983</v>
      </c>
      <c r="C143" s="7" t="s">
        <v>1001</v>
      </c>
      <c r="D143" s="7" t="s">
        <v>15</v>
      </c>
      <c r="E143" s="7">
        <v>14.0</v>
      </c>
      <c r="F143" s="7" t="s">
        <v>121</v>
      </c>
      <c r="G143" s="7" t="s">
        <v>970</v>
      </c>
      <c r="H143" s="7">
        <v>1984.0</v>
      </c>
      <c r="I143" s="7">
        <v>359.0</v>
      </c>
      <c r="J143" s="7">
        <v>27.3</v>
      </c>
      <c r="K143" s="7">
        <v>4.5</v>
      </c>
      <c r="L143" s="15" t="s">
        <v>971</v>
      </c>
      <c r="M143" s="7" t="s">
        <v>1122</v>
      </c>
      <c r="N143" s="7" t="s">
        <v>68</v>
      </c>
      <c r="O143" s="13">
        <v>209.3</v>
      </c>
    </row>
    <row r="144" ht="15.75" customHeight="1">
      <c r="A144" s="5" t="s">
        <v>1269</v>
      </c>
      <c r="B144" s="16" t="s">
        <v>983</v>
      </c>
      <c r="C144" s="5" t="s">
        <v>990</v>
      </c>
      <c r="D144" s="5" t="s">
        <v>15</v>
      </c>
      <c r="E144" s="5">
        <v>8.0</v>
      </c>
      <c r="F144" s="5" t="s">
        <v>141</v>
      </c>
      <c r="G144" s="5" t="s">
        <v>970</v>
      </c>
      <c r="H144" s="5">
        <v>4143.0</v>
      </c>
      <c r="I144" s="5">
        <v>809.0</v>
      </c>
      <c r="J144" s="5">
        <v>17.5</v>
      </c>
      <c r="K144" s="5">
        <v>3.9</v>
      </c>
      <c r="L144" s="14" t="s">
        <v>971</v>
      </c>
      <c r="M144" s="5" t="s">
        <v>1270</v>
      </c>
      <c r="N144" s="5" t="s">
        <v>68</v>
      </c>
      <c r="O144" s="12">
        <v>269.1</v>
      </c>
    </row>
    <row r="145" ht="15.75" customHeight="1">
      <c r="A145" s="7" t="s">
        <v>1271</v>
      </c>
      <c r="B145" s="17" t="s">
        <v>983</v>
      </c>
      <c r="C145" s="7" t="s">
        <v>1076</v>
      </c>
      <c r="D145" s="7" t="s">
        <v>15</v>
      </c>
      <c r="E145" s="7">
        <v>2.0</v>
      </c>
      <c r="F145" s="7" t="s">
        <v>162</v>
      </c>
      <c r="G145" s="7" t="s">
        <v>970</v>
      </c>
      <c r="H145" s="7">
        <v>2265.0</v>
      </c>
      <c r="I145" s="7">
        <v>234.0</v>
      </c>
      <c r="J145" s="7">
        <v>15.6</v>
      </c>
      <c r="K145" s="7">
        <v>4.1</v>
      </c>
      <c r="L145" s="15" t="s">
        <v>971</v>
      </c>
      <c r="M145" s="7" t="s">
        <v>1077</v>
      </c>
      <c r="N145" s="7" t="s">
        <v>68</v>
      </c>
      <c r="O145" s="13">
        <v>59.8</v>
      </c>
    </row>
    <row r="146" ht="15.75" customHeight="1">
      <c r="A146" s="5" t="s">
        <v>1272</v>
      </c>
      <c r="B146" s="16" t="s">
        <v>983</v>
      </c>
      <c r="C146" s="5" t="s">
        <v>1076</v>
      </c>
      <c r="D146" s="5" t="s">
        <v>9</v>
      </c>
      <c r="E146" s="5">
        <v>8.0</v>
      </c>
      <c r="F146" s="5" t="s">
        <v>121</v>
      </c>
      <c r="G146" s="5" t="s">
        <v>970</v>
      </c>
      <c r="H146" s="5">
        <v>2767.0</v>
      </c>
      <c r="I146" s="5">
        <v>322.0</v>
      </c>
      <c r="J146" s="5">
        <v>39.5</v>
      </c>
      <c r="K146" s="5">
        <v>4.2</v>
      </c>
      <c r="L146" s="14" t="s">
        <v>971</v>
      </c>
      <c r="M146" s="5" t="s">
        <v>1273</v>
      </c>
      <c r="N146" s="5" t="s">
        <v>68</v>
      </c>
      <c r="O146" s="12">
        <v>239.2</v>
      </c>
    </row>
    <row r="147" ht="15.75" customHeight="1">
      <c r="A147" s="7" t="s">
        <v>1274</v>
      </c>
      <c r="B147" s="17" t="s">
        <v>983</v>
      </c>
      <c r="C147" s="7" t="s">
        <v>1275</v>
      </c>
      <c r="D147" s="7" t="s">
        <v>18</v>
      </c>
      <c r="E147" s="7">
        <v>6.0</v>
      </c>
      <c r="F147" s="7" t="s">
        <v>98</v>
      </c>
      <c r="G147" s="7" t="s">
        <v>970</v>
      </c>
      <c r="H147" s="7">
        <v>1182.0</v>
      </c>
      <c r="I147" s="7">
        <v>141.0</v>
      </c>
      <c r="J147" s="7">
        <v>15.4</v>
      </c>
      <c r="K147" s="7">
        <v>4.2</v>
      </c>
      <c r="L147" s="15" t="s">
        <v>971</v>
      </c>
      <c r="M147" s="7" t="s">
        <v>1276</v>
      </c>
      <c r="N147" s="7" t="s">
        <v>68</v>
      </c>
      <c r="O147" s="13">
        <v>269.1</v>
      </c>
    </row>
    <row r="148" ht="15.75" customHeight="1">
      <c r="A148" s="5" t="s">
        <v>1277</v>
      </c>
      <c r="B148" s="5" t="s">
        <v>968</v>
      </c>
      <c r="C148" s="5" t="s">
        <v>1069</v>
      </c>
      <c r="D148" s="5" t="s">
        <v>16</v>
      </c>
      <c r="E148" s="5">
        <v>6.0</v>
      </c>
      <c r="F148" s="5" t="s">
        <v>162</v>
      </c>
      <c r="G148" s="5" t="s">
        <v>970</v>
      </c>
      <c r="H148" s="5">
        <v>901.0</v>
      </c>
      <c r="I148" s="5">
        <v>121.0</v>
      </c>
      <c r="J148" s="5">
        <v>11.3</v>
      </c>
      <c r="K148" s="5">
        <v>4.4</v>
      </c>
      <c r="L148" s="14" t="s">
        <v>971</v>
      </c>
      <c r="M148" s="5" t="s">
        <v>1278</v>
      </c>
      <c r="N148" s="5" t="s">
        <v>68</v>
      </c>
      <c r="O148" s="12">
        <v>59.8</v>
      </c>
    </row>
    <row r="149" ht="15.75" customHeight="1">
      <c r="A149" s="7" t="s">
        <v>1279</v>
      </c>
      <c r="B149" s="17" t="s">
        <v>983</v>
      </c>
      <c r="C149" s="7" t="s">
        <v>1152</v>
      </c>
      <c r="D149" s="7" t="s">
        <v>16</v>
      </c>
      <c r="E149" s="7">
        <v>14.0</v>
      </c>
      <c r="F149" s="7" t="s">
        <v>98</v>
      </c>
      <c r="G149" s="7" t="s">
        <v>970</v>
      </c>
      <c r="H149" s="7">
        <v>70.0</v>
      </c>
      <c r="I149" s="7">
        <v>12.0</v>
      </c>
      <c r="J149" s="7">
        <v>6.6</v>
      </c>
      <c r="K149" s="7">
        <v>4.1</v>
      </c>
      <c r="L149" s="15" t="s">
        <v>971</v>
      </c>
      <c r="M149" s="7" t="s">
        <v>1280</v>
      </c>
      <c r="N149" s="7" t="s">
        <v>68</v>
      </c>
      <c r="O149" s="13">
        <v>328.9</v>
      </c>
    </row>
    <row r="150" ht="15.75" customHeight="1">
      <c r="A150" s="5" t="s">
        <v>1281</v>
      </c>
      <c r="B150" s="16" t="s">
        <v>983</v>
      </c>
      <c r="C150" s="5" t="s">
        <v>1124</v>
      </c>
      <c r="D150" s="5" t="s">
        <v>13</v>
      </c>
      <c r="E150" s="5">
        <v>2.0</v>
      </c>
      <c r="F150" s="5" t="s">
        <v>141</v>
      </c>
      <c r="G150" s="5" t="s">
        <v>970</v>
      </c>
      <c r="H150" s="5">
        <v>3314.0</v>
      </c>
      <c r="I150" s="5">
        <v>579.0</v>
      </c>
      <c r="J150" s="5">
        <v>19.3</v>
      </c>
      <c r="K150" s="5">
        <v>4.0</v>
      </c>
      <c r="L150" s="14" t="s">
        <v>971</v>
      </c>
      <c r="M150" s="5" t="s">
        <v>1282</v>
      </c>
      <c r="N150" s="5" t="s">
        <v>68</v>
      </c>
      <c r="O150" s="12">
        <v>29.9</v>
      </c>
    </row>
    <row r="151" ht="15.75" customHeight="1">
      <c r="A151" s="7" t="s">
        <v>1283</v>
      </c>
      <c r="B151" s="17" t="s">
        <v>983</v>
      </c>
      <c r="C151" s="7" t="s">
        <v>1275</v>
      </c>
      <c r="D151" s="7" t="s">
        <v>11</v>
      </c>
      <c r="E151" s="7">
        <v>3.0</v>
      </c>
      <c r="F151" s="7" t="s">
        <v>162</v>
      </c>
      <c r="G151" s="7" t="s">
        <v>970</v>
      </c>
      <c r="H151" s="7">
        <v>3920.0</v>
      </c>
      <c r="I151" s="7">
        <v>405.0</v>
      </c>
      <c r="J151" s="7">
        <v>34.8</v>
      </c>
      <c r="K151" s="7">
        <v>4.8</v>
      </c>
      <c r="L151" s="15" t="s">
        <v>971</v>
      </c>
      <c r="M151" s="7" t="s">
        <v>1005</v>
      </c>
      <c r="N151" s="7" t="s">
        <v>68</v>
      </c>
      <c r="O151" s="13">
        <v>149.5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151"/>
  <printOptions/>
  <pageMargins bottom="1.0" footer="0.0" header="0.0" left="0.75" right="0.75" top="1.0"/>
  <pageSetup orientation="landscape"/>
  <drawing r:id="rId1"/>
</worksheet>
</file>